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raha\Desktop\"/>
    </mc:Choice>
  </mc:AlternateContent>
  <xr:revisionPtr revIDLastSave="0" documentId="13_ncr:1_{D216A43C-CC8C-4DD2-9D2B-3CEF8E530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acterísticas" sheetId="1" r:id="rId1"/>
    <sheet name="Equipamiento" sheetId="2" r:id="rId2"/>
    <sheet name="Conjuros" sheetId="3" r:id="rId3"/>
    <sheet name="Tablas" sheetId="4" r:id="rId4"/>
    <sheet name="Equipo mundano" sheetId="5" r:id="rId5"/>
    <sheet name="Notas" sheetId="6" r:id="rId6"/>
  </sheets>
  <definedNames>
    <definedName name="BAB">Características!$K$31</definedName>
    <definedName name="CHA_MOD">Características!$E$22</definedName>
    <definedName name="Class">Características!$A$3</definedName>
    <definedName name="Class1">Características!$A$3</definedName>
    <definedName name="Class2">Características!$A$7</definedName>
    <definedName name="Class3">Características!$A$9</definedName>
    <definedName name="CON_MOD">Características!$E$16</definedName>
    <definedName name="DES_MAX">Equipamiento!$H$10</definedName>
    <definedName name="DES_MÁX.">Equipamiento!$H$10</definedName>
    <definedName name="DEX_MOD">Características!$E$14</definedName>
    <definedName name="HD">Características!$M$16</definedName>
    <definedName name="HDLVL">Características!$K$3</definedName>
    <definedName name="HDT">Características!$Q$16</definedName>
    <definedName name="INT_MOD">Características!$E$18</definedName>
    <definedName name="LVL">Características!$I$3</definedName>
    <definedName name="LVL_2">Características!$E$7</definedName>
    <definedName name="LVL_3">Características!$E$9</definedName>
    <definedName name="LVLADJ">Características!$M$3</definedName>
    <definedName name="SIZE">Características!$A$5</definedName>
    <definedName name="SIZE_MOD">Características!$W$14</definedName>
    <definedName name="SPB">Características!$X$17</definedName>
    <definedName name="SPBT">Características!$Y$17</definedName>
    <definedName name="SpellClass">Equipamiento!$U$51</definedName>
    <definedName name="STR_MOD">Características!$E$12</definedName>
    <definedName name="Type">Características!$E$3</definedName>
    <definedName name="WIS_MOD">Características!$E$20</definedName>
  </definedNames>
  <calcPr calcId="181029"/>
  <extLst>
    <ext uri="GoogleSheetsCustomDataVersion2">
      <go:sheetsCustomData xmlns:go="http://customooxmlschemas.google.com/" r:id="rId10" roundtripDataChecksum="bwaqUGZIP/T8laAKyIQrBrDGmYoT/gC2Plh139xuveA="/>
    </ext>
  </extLst>
</workbook>
</file>

<file path=xl/calcChain.xml><?xml version="1.0" encoding="utf-8"?>
<calcChain xmlns="http://schemas.openxmlformats.org/spreadsheetml/2006/main">
  <c r="AI28" i="1" l="1"/>
  <c r="AI30" i="1"/>
  <c r="AI33" i="1"/>
  <c r="AI43" i="1"/>
  <c r="AI44" i="1"/>
  <c r="AI47" i="1"/>
  <c r="AI48" i="1"/>
  <c r="AI56" i="1"/>
  <c r="AI59" i="1"/>
  <c r="AI62" i="1"/>
  <c r="AI63" i="1"/>
  <c r="AI66" i="1"/>
  <c r="AI67" i="1"/>
  <c r="AI72" i="1"/>
  <c r="AI73" i="1"/>
  <c r="AI76" i="1"/>
  <c r="G813" i="4"/>
  <c r="G812" i="4"/>
  <c r="G811" i="4"/>
  <c r="G810" i="4"/>
  <c r="G809" i="4"/>
  <c r="G808" i="4"/>
  <c r="G807" i="4"/>
  <c r="G806" i="4"/>
  <c r="G805" i="4"/>
  <c r="G804" i="4"/>
  <c r="G803" i="4"/>
  <c r="G797" i="4"/>
  <c r="G796" i="4"/>
  <c r="G795" i="4"/>
  <c r="G794" i="4"/>
  <c r="G793" i="4"/>
  <c r="G792" i="4"/>
  <c r="G791" i="4"/>
  <c r="G790" i="4"/>
  <c r="G789" i="4"/>
  <c r="G788" i="4"/>
  <c r="G787" i="4"/>
  <c r="G781" i="4"/>
  <c r="G780" i="4"/>
  <c r="G779" i="4"/>
  <c r="G778" i="4"/>
  <c r="G777" i="4"/>
  <c r="G776" i="4"/>
  <c r="G775" i="4"/>
  <c r="G774" i="4"/>
  <c r="G773" i="4"/>
  <c r="G772" i="4"/>
  <c r="G771" i="4"/>
  <c r="G765" i="4"/>
  <c r="G764" i="4"/>
  <c r="G763" i="4"/>
  <c r="G762" i="4"/>
  <c r="G761" i="4"/>
  <c r="G760" i="4"/>
  <c r="G759" i="4"/>
  <c r="G758" i="4"/>
  <c r="G757" i="4"/>
  <c r="G756" i="4"/>
  <c r="G755" i="4"/>
  <c r="G749" i="4"/>
  <c r="G748" i="4"/>
  <c r="G747" i="4"/>
  <c r="G746" i="4"/>
  <c r="G745" i="4"/>
  <c r="G744" i="4"/>
  <c r="G743" i="4"/>
  <c r="G742" i="4"/>
  <c r="G741" i="4"/>
  <c r="G740" i="4"/>
  <c r="G739" i="4"/>
  <c r="G733" i="4"/>
  <c r="G732" i="4"/>
  <c r="G731" i="4"/>
  <c r="G730" i="4"/>
  <c r="G729" i="4"/>
  <c r="G728" i="4"/>
  <c r="G727" i="4"/>
  <c r="G726" i="4"/>
  <c r="G725" i="4"/>
  <c r="G724" i="4"/>
  <c r="G723" i="4"/>
  <c r="G717" i="4"/>
  <c r="G716" i="4"/>
  <c r="G715" i="4"/>
  <c r="G714" i="4"/>
  <c r="G713" i="4"/>
  <c r="G712" i="4"/>
  <c r="G711" i="4"/>
  <c r="G710" i="4"/>
  <c r="G709" i="4"/>
  <c r="G708" i="4"/>
  <c r="G707" i="4"/>
  <c r="G701" i="4"/>
  <c r="G700" i="4"/>
  <c r="G699" i="4"/>
  <c r="G698" i="4"/>
  <c r="G697" i="4"/>
  <c r="G696" i="4"/>
  <c r="G695" i="4"/>
  <c r="G694" i="4"/>
  <c r="G693" i="4"/>
  <c r="G692" i="4"/>
  <c r="G691" i="4"/>
  <c r="G685" i="4"/>
  <c r="G684" i="4"/>
  <c r="G683" i="4"/>
  <c r="G682" i="4"/>
  <c r="G681" i="4"/>
  <c r="G680" i="4"/>
  <c r="G679" i="4"/>
  <c r="G678" i="4"/>
  <c r="G677" i="4"/>
  <c r="G676" i="4"/>
  <c r="G675" i="4"/>
  <c r="G669" i="4"/>
  <c r="G668" i="4"/>
  <c r="G667" i="4"/>
  <c r="G666" i="4"/>
  <c r="G665" i="4"/>
  <c r="G664" i="4"/>
  <c r="G663" i="4"/>
  <c r="G662" i="4"/>
  <c r="G661" i="4"/>
  <c r="G660" i="4"/>
  <c r="G659" i="4"/>
  <c r="G653" i="4"/>
  <c r="G652" i="4"/>
  <c r="G651" i="4"/>
  <c r="G650" i="4"/>
  <c r="G649" i="4"/>
  <c r="G648" i="4"/>
  <c r="G647" i="4"/>
  <c r="G646" i="4"/>
  <c r="G645" i="4"/>
  <c r="G644" i="4"/>
  <c r="G643" i="4"/>
  <c r="G637" i="4"/>
  <c r="G636" i="4"/>
  <c r="G635" i="4"/>
  <c r="G634" i="4"/>
  <c r="G633" i="4"/>
  <c r="G632" i="4"/>
  <c r="G631" i="4"/>
  <c r="G630" i="4"/>
  <c r="G629" i="4"/>
  <c r="G628" i="4"/>
  <c r="G627" i="4"/>
  <c r="G621" i="4"/>
  <c r="G620" i="4"/>
  <c r="G619" i="4"/>
  <c r="G618" i="4"/>
  <c r="G617" i="4"/>
  <c r="G616" i="4"/>
  <c r="G615" i="4"/>
  <c r="G614" i="4"/>
  <c r="G613" i="4"/>
  <c r="G612" i="4"/>
  <c r="G611" i="4"/>
  <c r="G605" i="4"/>
  <c r="G604" i="4"/>
  <c r="G603" i="4"/>
  <c r="G602" i="4"/>
  <c r="G601" i="4"/>
  <c r="G600" i="4"/>
  <c r="G599" i="4"/>
  <c r="G598" i="4"/>
  <c r="G597" i="4"/>
  <c r="G596" i="4"/>
  <c r="G595" i="4"/>
  <c r="G589" i="4"/>
  <c r="G588" i="4"/>
  <c r="G587" i="4"/>
  <c r="G586" i="4"/>
  <c r="G585" i="4"/>
  <c r="G584" i="4"/>
  <c r="G583" i="4"/>
  <c r="G582" i="4"/>
  <c r="G581" i="4"/>
  <c r="G580" i="4"/>
  <c r="G579" i="4"/>
  <c r="G573" i="4"/>
  <c r="G572" i="4"/>
  <c r="G571" i="4"/>
  <c r="G570" i="4"/>
  <c r="G569" i="4"/>
  <c r="G568" i="4"/>
  <c r="G567" i="4"/>
  <c r="G566" i="4"/>
  <c r="G565" i="4"/>
  <c r="G564" i="4"/>
  <c r="G563" i="4"/>
  <c r="G557" i="4"/>
  <c r="G556" i="4"/>
  <c r="G555" i="4"/>
  <c r="G554" i="4"/>
  <c r="G553" i="4"/>
  <c r="G552" i="4"/>
  <c r="G551" i="4"/>
  <c r="G550" i="4"/>
  <c r="G549" i="4"/>
  <c r="G548" i="4"/>
  <c r="G547" i="4"/>
  <c r="G541" i="4"/>
  <c r="G540" i="4"/>
  <c r="G539" i="4"/>
  <c r="G538" i="4"/>
  <c r="G537" i="4"/>
  <c r="G536" i="4"/>
  <c r="G535" i="4"/>
  <c r="G534" i="4"/>
  <c r="G533" i="4"/>
  <c r="G532" i="4"/>
  <c r="G531" i="4"/>
  <c r="G525" i="4"/>
  <c r="G524" i="4"/>
  <c r="G523" i="4"/>
  <c r="G522" i="4"/>
  <c r="G521" i="4"/>
  <c r="G520" i="4"/>
  <c r="G519" i="4"/>
  <c r="G518" i="4"/>
  <c r="G517" i="4"/>
  <c r="G516" i="4"/>
  <c r="G515" i="4"/>
  <c r="G509" i="4"/>
  <c r="G508" i="4"/>
  <c r="G507" i="4"/>
  <c r="G506" i="4"/>
  <c r="G505" i="4"/>
  <c r="G504" i="4"/>
  <c r="G503" i="4"/>
  <c r="G502" i="4"/>
  <c r="G501" i="4"/>
  <c r="G500" i="4"/>
  <c r="G499" i="4"/>
  <c r="A491" i="4"/>
  <c r="A467" i="4"/>
  <c r="A463" i="4"/>
  <c r="A462" i="4"/>
  <c r="A461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156" i="4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C55" i="4"/>
  <c r="G54" i="4"/>
  <c r="D54" i="4"/>
  <c r="C54" i="4"/>
  <c r="B54" i="4"/>
  <c r="G53" i="4"/>
  <c r="D53" i="4"/>
  <c r="C53" i="4"/>
  <c r="B53" i="4"/>
  <c r="G52" i="4"/>
  <c r="D52" i="4"/>
  <c r="C52" i="4"/>
  <c r="B52" i="4"/>
  <c r="G51" i="4"/>
  <c r="D51" i="4"/>
  <c r="C51" i="4"/>
  <c r="B51" i="4"/>
  <c r="G50" i="4"/>
  <c r="D50" i="4"/>
  <c r="C50" i="4"/>
  <c r="B50" i="4"/>
  <c r="G49" i="4"/>
  <c r="D49" i="4"/>
  <c r="C49" i="4"/>
  <c r="B49" i="4"/>
  <c r="G48" i="4"/>
  <c r="D48" i="4"/>
  <c r="C48" i="4"/>
  <c r="B48" i="4"/>
  <c r="G47" i="4"/>
  <c r="D47" i="4"/>
  <c r="C47" i="4"/>
  <c r="B47" i="4"/>
  <c r="G46" i="4"/>
  <c r="D46" i="4"/>
  <c r="C46" i="4"/>
  <c r="B46" i="4"/>
  <c r="G45" i="4"/>
  <c r="D45" i="4"/>
  <c r="C45" i="4"/>
  <c r="B45" i="4"/>
  <c r="G44" i="4"/>
  <c r="D44" i="4"/>
  <c r="C44" i="4"/>
  <c r="B44" i="4"/>
  <c r="G43" i="4"/>
  <c r="D43" i="4"/>
  <c r="C43" i="4"/>
  <c r="B43" i="4"/>
  <c r="G42" i="4"/>
  <c r="D42" i="4"/>
  <c r="C42" i="4"/>
  <c r="B42" i="4"/>
  <c r="G41" i="4"/>
  <c r="D41" i="4"/>
  <c r="C41" i="4"/>
  <c r="B41" i="4"/>
  <c r="G40" i="4"/>
  <c r="D40" i="4"/>
  <c r="C40" i="4"/>
  <c r="B40" i="4"/>
  <c r="G39" i="4"/>
  <c r="D39" i="4"/>
  <c r="C39" i="4"/>
  <c r="B39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G27" i="4"/>
  <c r="D27" i="4"/>
  <c r="C27" i="4"/>
  <c r="B27" i="4"/>
  <c r="G26" i="4"/>
  <c r="D26" i="4"/>
  <c r="C26" i="4"/>
  <c r="B26" i="4"/>
  <c r="G25" i="4"/>
  <c r="D25" i="4"/>
  <c r="C25" i="4"/>
  <c r="B25" i="4"/>
  <c r="G24" i="4"/>
  <c r="D24" i="4"/>
  <c r="C24" i="4"/>
  <c r="B24" i="4"/>
  <c r="G23" i="4"/>
  <c r="D23" i="4"/>
  <c r="C23" i="4"/>
  <c r="B23" i="4"/>
  <c r="G21" i="4"/>
  <c r="D21" i="4"/>
  <c r="C21" i="4"/>
  <c r="B21" i="4"/>
  <c r="G20" i="4"/>
  <c r="D20" i="4"/>
  <c r="C20" i="4"/>
  <c r="B20" i="4"/>
  <c r="G19" i="4"/>
  <c r="D19" i="4"/>
  <c r="C19" i="4"/>
  <c r="B19" i="4"/>
  <c r="G18" i="4"/>
  <c r="D18" i="4"/>
  <c r="C18" i="4"/>
  <c r="B18" i="4"/>
  <c r="G17" i="4"/>
  <c r="D17" i="4"/>
  <c r="C17" i="4"/>
  <c r="B17" i="4"/>
  <c r="G16" i="4"/>
  <c r="D16" i="4"/>
  <c r="C16" i="4"/>
  <c r="B16" i="4"/>
  <c r="G15" i="4"/>
  <c r="D15" i="4"/>
  <c r="C15" i="4"/>
  <c r="B15" i="4"/>
  <c r="G14" i="4"/>
  <c r="D14" i="4"/>
  <c r="C14" i="4"/>
  <c r="B14" i="4"/>
  <c r="G13" i="4"/>
  <c r="D13" i="4"/>
  <c r="C13" i="4"/>
  <c r="B13" i="4"/>
  <c r="G12" i="4"/>
  <c r="D12" i="4"/>
  <c r="C12" i="4"/>
  <c r="B12" i="4"/>
  <c r="G11" i="4"/>
  <c r="D11" i="4"/>
  <c r="C11" i="4"/>
  <c r="B11" i="4"/>
  <c r="L7" i="4"/>
  <c r="K7" i="4"/>
  <c r="J7" i="4"/>
  <c r="I7" i="4"/>
  <c r="H7" i="4"/>
  <c r="G7" i="4"/>
  <c r="F7" i="4"/>
  <c r="E7" i="4"/>
  <c r="D7" i="4"/>
  <c r="C7" i="4"/>
  <c r="B7" i="4"/>
  <c r="L4" i="4"/>
  <c r="K4" i="4"/>
  <c r="J4" i="4"/>
  <c r="I4" i="4"/>
  <c r="H4" i="4"/>
  <c r="G4" i="4"/>
  <c r="F4" i="4"/>
  <c r="E4" i="4"/>
  <c r="D4" i="4"/>
  <c r="C4" i="4"/>
  <c r="B4" i="4"/>
  <c r="L3" i="4"/>
  <c r="K3" i="4"/>
  <c r="J3" i="4"/>
  <c r="I3" i="4"/>
  <c r="H3" i="4"/>
  <c r="G3" i="4"/>
  <c r="F3" i="4"/>
  <c r="E3" i="4"/>
  <c r="D3" i="4"/>
  <c r="C3" i="4"/>
  <c r="B3" i="4"/>
  <c r="L2" i="4"/>
  <c r="K2" i="4"/>
  <c r="J2" i="4"/>
  <c r="I2" i="4"/>
  <c r="H2" i="4"/>
  <c r="G2" i="4"/>
  <c r="F2" i="4"/>
  <c r="E2" i="4"/>
  <c r="D2" i="4"/>
  <c r="C2" i="4"/>
  <c r="B2" i="4"/>
  <c r="G294" i="4"/>
  <c r="G293" i="4"/>
  <c r="F200" i="4"/>
  <c r="E200" i="4"/>
  <c r="G200" i="4" l="1"/>
  <c r="D200" i="4"/>
  <c r="H200" i="4"/>
  <c r="I200" i="4"/>
  <c r="D293" i="4"/>
  <c r="D294" i="4"/>
  <c r="AK43" i="1" l="1"/>
  <c r="AK34" i="1"/>
  <c r="AK47" i="1"/>
  <c r="AK33" i="1"/>
  <c r="AK59" i="1"/>
  <c r="AK46" i="1"/>
  <c r="AK35" i="1"/>
  <c r="AK45" i="1"/>
  <c r="AH31" i="2"/>
  <c r="AK65" i="1"/>
</calcChain>
</file>

<file path=xl/sharedStrings.xml><?xml version="1.0" encoding="utf-8"?>
<sst xmlns="http://schemas.openxmlformats.org/spreadsheetml/2006/main" count="3197" uniqueCount="694">
  <si>
    <t xml:space="preserve"> </t>
  </si>
  <si>
    <t>NOMBRE DE PERSONAJE</t>
  </si>
  <si>
    <t>JUGADOR</t>
  </si>
  <si>
    <t>Pícaro</t>
  </si>
  <si>
    <t>Humanoide</t>
  </si>
  <si>
    <t>Clase 1ria</t>
  </si>
  <si>
    <t>TIPO</t>
  </si>
  <si>
    <t>Nivel 1rio</t>
  </si>
  <si>
    <t>TIPO Nivel</t>
  </si>
  <si>
    <t>Ajuste lvl</t>
  </si>
  <si>
    <t>RAZA</t>
  </si>
  <si>
    <t>ALINEAMIENTO</t>
  </si>
  <si>
    <t>DEIDAD</t>
  </si>
  <si>
    <t>Mediano</t>
  </si>
  <si>
    <t>TAMAÑO</t>
  </si>
  <si>
    <t>EDAD</t>
  </si>
  <si>
    <t>GÉNERO</t>
  </si>
  <si>
    <t>ALTURA</t>
  </si>
  <si>
    <t>PESO</t>
  </si>
  <si>
    <t>OJOS</t>
  </si>
  <si>
    <t>PELO</t>
  </si>
  <si>
    <t>PIEL</t>
  </si>
  <si>
    <t>Cavar</t>
  </si>
  <si>
    <t>→</t>
  </si>
  <si>
    <t>CASILLAS</t>
  </si>
  <si>
    <t>Trepar</t>
  </si>
  <si>
    <t>Nadar</t>
  </si>
  <si>
    <t>NOMBRE CARACT.</t>
  </si>
  <si>
    <t>PUNTOS CARCT.</t>
  </si>
  <si>
    <t>MODIFIC. CARACT.</t>
  </si>
  <si>
    <t>PUNTOS TEMPORALES</t>
  </si>
  <si>
    <t>MODIFIC. TEMPORAL</t>
  </si>
  <si>
    <t>TOTAL</t>
  </si>
  <si>
    <t>HERIDAS</t>
  </si>
  <si>
    <t>/</t>
  </si>
  <si>
    <t>PV RESTANTES</t>
  </si>
  <si>
    <t>DAÑO NO LETAL</t>
  </si>
  <si>
    <t>Vuelo</t>
  </si>
  <si>
    <t>FUE</t>
  </si>
  <si>
    <t>=</t>
  </si>
  <si>
    <t>PV</t>
  </si>
  <si>
    <t>Terrestre</t>
  </si>
  <si>
    <t>DES</t>
  </si>
  <si>
    <t>CA</t>
  </si>
  <si>
    <t>+</t>
  </si>
  <si>
    <t>REDUCCIÓN AL DAÑO</t>
  </si>
  <si>
    <t>BASE</t>
  </si>
  <si>
    <t>Bonus Armadura</t>
  </si>
  <si>
    <t>Bonus escudo</t>
  </si>
  <si>
    <t>Mod. Destreza</t>
  </si>
  <si>
    <t>Modificador Tamaño</t>
  </si>
  <si>
    <t>Armadura Natural</t>
  </si>
  <si>
    <t>Modificador Desvio</t>
  </si>
  <si>
    <t>Modificiador Miscelanea</t>
  </si>
  <si>
    <t>CON</t>
  </si>
  <si>
    <t>DG Clase</t>
  </si>
  <si>
    <t>DG Tipo</t>
  </si>
  <si>
    <t>Puntos habilidad base</t>
  </si>
  <si>
    <t>HABILIDADES</t>
  </si>
  <si>
    <t>INT</t>
  </si>
  <si>
    <t>TOQUE</t>
  </si>
  <si>
    <t>DESPREVENIDO</t>
  </si>
  <si>
    <t>Puntos totales</t>
  </si>
  <si>
    <t>HABILIDAD CLASICA X  /  BLANK</t>
  </si>
  <si>
    <t>NOMBRE DE HABILIDAD</t>
  </si>
  <si>
    <t>HABILID. CLAVE</t>
  </si>
  <si>
    <t>Modificadores Habilidad</t>
  </si>
  <si>
    <t>RANGOS</t>
  </si>
  <si>
    <t>Modificadores Miscelanea</t>
  </si>
  <si>
    <t>SAB</t>
  </si>
  <si>
    <t>INICIATIVA</t>
  </si>
  <si>
    <t>ABRIR CERRADURAS</t>
  </si>
  <si>
    <t>DEX MODIFIER</t>
  </si>
  <si>
    <t>MISC MODIFIER</t>
  </si>
  <si>
    <t>ARTE        (</t>
  </si>
  <si>
    <t>Herrería</t>
  </si>
  <si>
    <t>)</t>
  </si>
  <si>
    <t>CAR</t>
  </si>
  <si>
    <t>Total</t>
  </si>
  <si>
    <t>Tiros de Salvación</t>
  </si>
  <si>
    <t>SALVACIÓN BASE</t>
  </si>
  <si>
    <t>MODIFIC. HABILIDAD</t>
  </si>
  <si>
    <t>MODIFIC. MÁGICO</t>
  </si>
  <si>
    <t>MODIFIC. MISC.</t>
  </si>
  <si>
    <t>MODIFICADOR CONDICIONAL</t>
  </si>
  <si>
    <t>AVERIGUAR INTENCIONES</t>
  </si>
  <si>
    <t>FORTALEZA</t>
  </si>
  <si>
    <t>AVISTAR</t>
  </si>
  <si>
    <t>Constitución</t>
  </si>
  <si>
    <t>BUSCAR</t>
  </si>
  <si>
    <t>REFLEJOS</t>
  </si>
  <si>
    <t>CONCENTRACIÓN</t>
  </si>
  <si>
    <t>Destreza</t>
  </si>
  <si>
    <t>CONOCIMIENTO DE CONJ.</t>
  </si>
  <si>
    <t>VOLUNTAD</t>
  </si>
  <si>
    <t>DESCIFRAR ESCRITURA</t>
  </si>
  <si>
    <t>Sabiduría</t>
  </si>
  <si>
    <t>DIPLOMACIA</t>
  </si>
  <si>
    <t>ATAQUE BASE</t>
  </si>
  <si>
    <t>RESISTENCIA CONJUROS</t>
  </si>
  <si>
    <t>DISFRAZARSE</t>
  </si>
  <si>
    <t>ENGAÑAR</t>
  </si>
  <si>
    <t>ATAQUE BASE BONUS</t>
  </si>
  <si>
    <t>MODIFIC TAMAÑO</t>
  </si>
  <si>
    <t>MODIFIC. MISCELAN.</t>
  </si>
  <si>
    <t>EQUILIBRIO</t>
  </si>
  <si>
    <t>DES*</t>
  </si>
  <si>
    <t>FUERZA</t>
  </si>
  <si>
    <t>ESCAPISMO</t>
  </si>
  <si>
    <t>Fuerza</t>
  </si>
  <si>
    <t>ESCONDERSE</t>
  </si>
  <si>
    <t>DESTREZA</t>
  </si>
  <si>
    <t>ESCUCHAR</t>
  </si>
  <si>
    <t>FALSIFICAR</t>
  </si>
  <si>
    <t>PRESA</t>
  </si>
  <si>
    <t>INTERPRETAR (_________)</t>
  </si>
  <si>
    <t>INTIMIDAR</t>
  </si>
  <si>
    <t>ARMA</t>
  </si>
  <si>
    <t>ATAQUE</t>
  </si>
  <si>
    <t>DAÑO</t>
  </si>
  <si>
    <t>CRITICO</t>
  </si>
  <si>
    <t>INUTILIZAR MECANISMO</t>
  </si>
  <si>
    <t>JUEGO DE MANOS</t>
  </si>
  <si>
    <t>MONTAR (_____________)</t>
  </si>
  <si>
    <t>RANGO</t>
  </si>
  <si>
    <t>NOTAS</t>
  </si>
  <si>
    <t>MOVERSE SIGILOSAMENTE</t>
  </si>
  <si>
    <t>NADAR</t>
  </si>
  <si>
    <t>FUE*</t>
  </si>
  <si>
    <t>PIRUETAS</t>
  </si>
  <si>
    <t>MUNICIÓN</t>
  </si>
  <si>
    <t>REUNIR INFORMACIÓN</t>
  </si>
  <si>
    <t>SABER (ARCANO)</t>
  </si>
  <si>
    <t>SABER (ARQUITECTURA)</t>
  </si>
  <si>
    <t>SABER (DUNGEONS)</t>
  </si>
  <si>
    <t>SABER (GEOGRAFÍA)</t>
  </si>
  <si>
    <t>SABER (HISTORIA)</t>
  </si>
  <si>
    <t>SABER (LOCAL)</t>
  </si>
  <si>
    <t>SABER (LOS PLANOS)</t>
  </si>
  <si>
    <t>SABER (NATURALEZA)</t>
  </si>
  <si>
    <t>SABER (NOBLEZA)</t>
  </si>
  <si>
    <t>SABER (RELIGIÓN)</t>
  </si>
  <si>
    <t>SALTAR (ALTURA)</t>
  </si>
  <si>
    <t>SALTAR (DISTANCIA)</t>
  </si>
  <si>
    <t>Funciona según la velocidad Terrestre</t>
  </si>
  <si>
    <t>SANAR</t>
  </si>
  <si>
    <t>SUPERVIVENCIA</t>
  </si>
  <si>
    <t>TASACIÓN</t>
  </si>
  <si>
    <t>TRATO CON ANIMALES</t>
  </si>
  <si>
    <t>TREPAR</t>
  </si>
  <si>
    <t>USAR OBJETO MÁGICO</t>
  </si>
  <si>
    <t>USO DE CUERDAS</t>
  </si>
  <si>
    <t>_____________________</t>
  </si>
  <si>
    <t>_____</t>
  </si>
  <si>
    <t>DOTES</t>
  </si>
  <si>
    <t>NIVEL</t>
  </si>
  <si>
    <t>Aptitudes de Clase Principal</t>
  </si>
  <si>
    <t>Aptitudes de Clase Secundaria</t>
  </si>
  <si>
    <t>Aptitudes de Clase Terciaria</t>
  </si>
  <si>
    <t>Aptitudes de Clase De Prestigio</t>
  </si>
  <si>
    <t>Aptitudes de Clase Épica</t>
  </si>
  <si>
    <t>Puntos de experiencia</t>
  </si>
  <si>
    <t>Exp. Para level up</t>
  </si>
  <si>
    <t>Nivel Personaje</t>
  </si>
  <si>
    <t>Nº DE DOTES</t>
  </si>
  <si>
    <t>1.º</t>
  </si>
  <si>
    <t>2.º</t>
  </si>
  <si>
    <t>CARACT. ADICIONALES</t>
  </si>
  <si>
    <t>EQUIPO</t>
  </si>
  <si>
    <t>3.º</t>
  </si>
  <si>
    <t>Armadura/ Obj. Protector</t>
  </si>
  <si>
    <t>Tipo</t>
  </si>
  <si>
    <t>Bonif. A la CA</t>
  </si>
  <si>
    <t>DES MÁX.</t>
  </si>
  <si>
    <t>4.º</t>
  </si>
  <si>
    <t>Ligera</t>
  </si>
  <si>
    <t>Penalizador</t>
  </si>
  <si>
    <t>Fallo Conj.</t>
  </si>
  <si>
    <t>Velocidad</t>
  </si>
  <si>
    <t>Peso</t>
  </si>
  <si>
    <t>Propiedades Especiales</t>
  </si>
  <si>
    <t>5.º</t>
  </si>
  <si>
    <t>6.º</t>
  </si>
  <si>
    <t>Escudo/Obj. Protector</t>
  </si>
  <si>
    <t>7.º</t>
  </si>
  <si>
    <t>8.º</t>
  </si>
  <si>
    <t>Obj. Protector</t>
  </si>
  <si>
    <t>9.º</t>
  </si>
  <si>
    <t>10.º</t>
  </si>
  <si>
    <t>11.º</t>
  </si>
  <si>
    <t>12.º</t>
  </si>
  <si>
    <t>Aptitudes Especiales</t>
  </si>
  <si>
    <t>13.º</t>
  </si>
  <si>
    <t>Otras Posesiones</t>
  </si>
  <si>
    <t>14.º</t>
  </si>
  <si>
    <t>Objeto</t>
  </si>
  <si>
    <t>Nº</t>
  </si>
  <si>
    <t>Total 1</t>
  </si>
  <si>
    <t>Total 2</t>
  </si>
  <si>
    <t>Total 3</t>
  </si>
  <si>
    <t>Mochila</t>
  </si>
  <si>
    <t>15.º</t>
  </si>
  <si>
    <t>16.º</t>
  </si>
  <si>
    <t>17.º</t>
  </si>
  <si>
    <t>18.º</t>
  </si>
  <si>
    <t>19.º</t>
  </si>
  <si>
    <t>20.º</t>
  </si>
  <si>
    <t>Salvación Conjuros</t>
  </si>
  <si>
    <t>MOD. CD</t>
  </si>
  <si>
    <t>MOD. CARACT.</t>
  </si>
  <si>
    <t>FALLO CONJ. ARCANO</t>
  </si>
  <si>
    <t>%</t>
  </si>
  <si>
    <t>Clase lanzadora de conjuros</t>
  </si>
  <si>
    <t>-</t>
  </si>
  <si>
    <t>Peso Total Transportado</t>
  </si>
  <si>
    <t>Idiomas</t>
  </si>
  <si>
    <t>Conj. Conocidos</t>
  </si>
  <si>
    <t>CD Salvación</t>
  </si>
  <si>
    <t>NIVEL CONJURO</t>
  </si>
  <si>
    <t>Conjuros diarios</t>
  </si>
  <si>
    <t>Conjuros adicional</t>
  </si>
  <si>
    <t>Carga ligera</t>
  </si>
  <si>
    <t>Levantar sobre la cabeza (Igual carga máx)</t>
  </si>
  <si>
    <t>Carga media</t>
  </si>
  <si>
    <t>Levantar del suelo (2x carga máx)</t>
  </si>
  <si>
    <t>Carga pesada</t>
  </si>
  <si>
    <t>Empujar o arrastrar (5x carga máx)</t>
  </si>
  <si>
    <t>DINERO</t>
  </si>
  <si>
    <t>PC</t>
  </si>
  <si>
    <t>PP</t>
  </si>
  <si>
    <t>PO</t>
  </si>
  <si>
    <t>PPT</t>
  </si>
  <si>
    <t>CONJUROS</t>
  </si>
  <si>
    <t>Escuelas de Magia</t>
  </si>
  <si>
    <t>Nivel de conjuros 0</t>
  </si>
  <si>
    <t>Abjuración</t>
  </si>
  <si>
    <t>Adivinación</t>
  </si>
  <si>
    <t>Conjuración</t>
  </si>
  <si>
    <t>Encantamiento</t>
  </si>
  <si>
    <t>Evocación</t>
  </si>
  <si>
    <t>Ilusión</t>
  </si>
  <si>
    <t>Nigromancia</t>
  </si>
  <si>
    <t>Transmutación</t>
  </si>
  <si>
    <t>Nivel de conjuros 1</t>
  </si>
  <si>
    <t>Nivel de conjuros 2</t>
  </si>
  <si>
    <t>Nivel de conjuros 3</t>
  </si>
  <si>
    <t>Nivel de conjuros 4</t>
  </si>
  <si>
    <t>Nivel de conjuros 5</t>
  </si>
  <si>
    <t>Nivel de conjuros 6</t>
  </si>
  <si>
    <t>Nivel de conjuros 7</t>
  </si>
  <si>
    <t>Nivel de conjuros 8</t>
  </si>
  <si>
    <t>Nivel de conjuros 9</t>
  </si>
  <si>
    <t>Nivel de conjuros 10</t>
  </si>
  <si>
    <t>Nivel de conjuros 12</t>
  </si>
  <si>
    <t>Nivel de conjuros 13</t>
  </si>
  <si>
    <t>Nivel de conjuros 14</t>
  </si>
  <si>
    <t>Nivel de conjuros 15</t>
  </si>
  <si>
    <t>Nivel de conjuros 16</t>
  </si>
  <si>
    <t>Nivel de conjuros 17</t>
  </si>
  <si>
    <t>Nivel de conjuros 18</t>
  </si>
  <si>
    <t>Nivel de conjuros 19</t>
  </si>
  <si>
    <t>Nivel de conjuros 20</t>
  </si>
  <si>
    <t>TIPODE DG</t>
  </si>
  <si>
    <t>Barbaro</t>
  </si>
  <si>
    <t>Bardo</t>
  </si>
  <si>
    <t>Clérigo</t>
  </si>
  <si>
    <t>Druida</t>
  </si>
  <si>
    <t>Explorador</t>
  </si>
  <si>
    <t>Guerrero</t>
  </si>
  <si>
    <t>Hechicero</t>
  </si>
  <si>
    <t>Mago</t>
  </si>
  <si>
    <t>Monje</t>
  </si>
  <si>
    <t>Paladín</t>
  </si>
  <si>
    <t>Salvación de Fortaleza</t>
  </si>
  <si>
    <t>Salvación de Reflejos</t>
  </si>
  <si>
    <t>Salvación de Voluntad</t>
  </si>
  <si>
    <t>Puntos Habilidad Base</t>
  </si>
  <si>
    <t>Dado de golpe</t>
  </si>
  <si>
    <t>Ataque Base</t>
  </si>
  <si>
    <t>BUENO</t>
  </si>
  <si>
    <t>REGULAR</t>
  </si>
  <si>
    <t>MALO</t>
  </si>
  <si>
    <t>Puntos Hab. Base</t>
  </si>
  <si>
    <t>Adepto</t>
  </si>
  <si>
    <t>Aristócrata</t>
  </si>
  <si>
    <t>Combatiente</t>
  </si>
  <si>
    <t>Experto</t>
  </si>
  <si>
    <t>Plebeyo</t>
  </si>
  <si>
    <t>TS VARIABLES</t>
  </si>
  <si>
    <t>Aberración</t>
  </si>
  <si>
    <t>Ajeno</t>
  </si>
  <si>
    <t>Animal</t>
  </si>
  <si>
    <t>Bestia mágica</t>
  </si>
  <si>
    <t>Cieno</t>
  </si>
  <si>
    <t>Constructo</t>
  </si>
  <si>
    <t>Dragón</t>
  </si>
  <si>
    <t>Elemental (Aire, Fuego)</t>
  </si>
  <si>
    <t>Elemental (Tierra, Agua)</t>
  </si>
  <si>
    <t>Fata</t>
  </si>
  <si>
    <t>Gigante</t>
  </si>
  <si>
    <t>Humanoide monst.</t>
  </si>
  <si>
    <t>Muerto viviente</t>
  </si>
  <si>
    <t>Planta</t>
  </si>
  <si>
    <t>Sabandija</t>
  </si>
  <si>
    <t>Dado de Golpe</t>
  </si>
  <si>
    <t>CA/Ataque</t>
  </si>
  <si>
    <t>Presa</t>
  </si>
  <si>
    <t>Carga Transpor.</t>
  </si>
  <si>
    <t>Modificador Esconderse</t>
  </si>
  <si>
    <t>Minúsculo</t>
  </si>
  <si>
    <t>-10</t>
  </si>
  <si>
    <t>+8</t>
  </si>
  <si>
    <t>-2</t>
  </si>
  <si>
    <t>0</t>
  </si>
  <si>
    <t>0,125</t>
  </si>
  <si>
    <t>+16</t>
  </si>
  <si>
    <t>Diminuto</t>
  </si>
  <si>
    <t>+6</t>
  </si>
  <si>
    <t>+4</t>
  </si>
  <si>
    <t>0,25</t>
  </si>
  <si>
    <t>+12</t>
  </si>
  <si>
    <t>Menudo</t>
  </si>
  <si>
    <t>-8</t>
  </si>
  <si>
    <t>+2</t>
  </si>
  <si>
    <t>0,5</t>
  </si>
  <si>
    <t>Pequeño</t>
  </si>
  <si>
    <t>-4</t>
  </si>
  <si>
    <t>+1</t>
  </si>
  <si>
    <t>0,75</t>
  </si>
  <si>
    <t>1</t>
  </si>
  <si>
    <t>Grande</t>
  </si>
  <si>
    <t>-1</t>
  </si>
  <si>
    <t>2</t>
  </si>
  <si>
    <t>Enorme</t>
  </si>
  <si>
    <t>+5</t>
  </si>
  <si>
    <t>4</t>
  </si>
  <si>
    <t>Gargantuesco</t>
  </si>
  <si>
    <t>+24</t>
  </si>
  <si>
    <t>+9</t>
  </si>
  <si>
    <t>8</t>
  </si>
  <si>
    <t>-12</t>
  </si>
  <si>
    <t>Colosal</t>
  </si>
  <si>
    <t>+32</t>
  </si>
  <si>
    <t>+14</t>
  </si>
  <si>
    <t>16</t>
  </si>
  <si>
    <t>-16</t>
  </si>
  <si>
    <t>Carga intermedia</t>
  </si>
  <si>
    <t>Carga Pesada</t>
  </si>
  <si>
    <t>10</t>
  </si>
  <si>
    <t>20</t>
  </si>
  <si>
    <t>30</t>
  </si>
  <si>
    <t>26</t>
  </si>
  <si>
    <t>40</t>
  </si>
  <si>
    <t>33</t>
  </si>
  <si>
    <t>50</t>
  </si>
  <si>
    <t>60</t>
  </si>
  <si>
    <t>46</t>
  </si>
  <si>
    <t>70</t>
  </si>
  <si>
    <t>53</t>
  </si>
  <si>
    <t>80</t>
  </si>
  <si>
    <t>90</t>
  </si>
  <si>
    <t>66</t>
  </si>
  <si>
    <t>100</t>
  </si>
  <si>
    <t>76</t>
  </si>
  <si>
    <t>115</t>
  </si>
  <si>
    <t>86</t>
  </si>
  <si>
    <t>130</t>
  </si>
  <si>
    <t>150</t>
  </si>
  <si>
    <t>116</t>
  </si>
  <si>
    <t>175</t>
  </si>
  <si>
    <t>133</t>
  </si>
  <si>
    <t>200</t>
  </si>
  <si>
    <t>153</t>
  </si>
  <si>
    <t>230</t>
  </si>
  <si>
    <t>173</t>
  </si>
  <si>
    <t>260</t>
  </si>
  <si>
    <t>300</t>
  </si>
  <si>
    <t>233</t>
  </si>
  <si>
    <t>350</t>
  </si>
  <si>
    <t>266</t>
  </si>
  <si>
    <t>400</t>
  </si>
  <si>
    <t>306</t>
  </si>
  <si>
    <t>460</t>
  </si>
  <si>
    <t>346</t>
  </si>
  <si>
    <t>520</t>
  </si>
  <si>
    <t>600</t>
  </si>
  <si>
    <t>466</t>
  </si>
  <si>
    <t>700</t>
  </si>
  <si>
    <t>533</t>
  </si>
  <si>
    <t>800</t>
  </si>
  <si>
    <t>613</t>
  </si>
  <si>
    <t>920</t>
  </si>
  <si>
    <t>693</t>
  </si>
  <si>
    <t>1040</t>
  </si>
  <si>
    <t>1200</t>
  </si>
  <si>
    <t>933</t>
  </si>
  <si>
    <t>1400</t>
  </si>
  <si>
    <t>1064</t>
  </si>
  <si>
    <t>1600</t>
  </si>
  <si>
    <t>1224</t>
  </si>
  <si>
    <t>1840</t>
  </si>
  <si>
    <t>692</t>
  </si>
  <si>
    <t>1384</t>
  </si>
  <si>
    <t>2080</t>
  </si>
  <si>
    <t>2400</t>
  </si>
  <si>
    <t>932</t>
  </si>
  <si>
    <t>1864</t>
  </si>
  <si>
    <t>2800</t>
  </si>
  <si>
    <t>2132</t>
  </si>
  <si>
    <t>3200</t>
  </si>
  <si>
    <t>2452</t>
  </si>
  <si>
    <t>3680</t>
  </si>
  <si>
    <t>2772</t>
  </si>
  <si>
    <t>4160</t>
  </si>
  <si>
    <t>4800</t>
  </si>
  <si>
    <t>3732</t>
  </si>
  <si>
    <t>5600</t>
  </si>
  <si>
    <t>4256</t>
  </si>
  <si>
    <t>6400</t>
  </si>
  <si>
    <t>Nivel de personaje</t>
  </si>
  <si>
    <t>Dotes</t>
  </si>
  <si>
    <t>Incremento de característica</t>
  </si>
  <si>
    <t>Dotes Guerrero</t>
  </si>
  <si>
    <t>Experiencia/nvl</t>
  </si>
  <si>
    <t>Expulsión/Represión de muertos vivientes</t>
  </si>
  <si>
    <t>Inteligencia</t>
  </si>
  <si>
    <t>Carisma</t>
  </si>
  <si>
    <t>Resultado de la prueba</t>
  </si>
  <si>
    <t>DGs M. viviente más poderoso afectado</t>
  </si>
  <si>
    <t>Modificador Saltar Distancia</t>
  </si>
  <si>
    <t>Modificadores de Característica y Conjuros Adicionales</t>
  </si>
  <si>
    <t>Bonifi. Nivel de conjuro 1</t>
  </si>
  <si>
    <t>Conjuros Adicionales</t>
  </si>
  <si>
    <t>Bonifi. Nivel de conjuro 2</t>
  </si>
  <si>
    <t>Bonifi. Nivel de conjuro 3</t>
  </si>
  <si>
    <t>Bonifi. Nivel de conjuro 4</t>
  </si>
  <si>
    <t>Bonifi. Nivel de conjuro 5</t>
  </si>
  <si>
    <t>Bonifi. Nivel de conjuro 6</t>
  </si>
  <si>
    <t>Bonifi. Nivel de conjuro 7</t>
  </si>
  <si>
    <t>Bonifi. Nivel de conjuro 8</t>
  </si>
  <si>
    <t>Bonifi. Nivel de conjuro 9</t>
  </si>
  <si>
    <t>Velocidades y Modificadores a la Destreza Máxima y Penalizadores a habilidades Según Carga Máxima</t>
  </si>
  <si>
    <t>Velocidad normal</t>
  </si>
  <si>
    <t>Velocidad Carga Media y Pesada</t>
  </si>
  <si>
    <t>Carga</t>
  </si>
  <si>
    <t>Destreza Máxima</t>
  </si>
  <si>
    <t>Penalización</t>
  </si>
  <si>
    <t>Tipo de Armadura</t>
  </si>
  <si>
    <t>Sin armadura</t>
  </si>
  <si>
    <t>Intermedia</t>
  </si>
  <si>
    <t>Pesada</t>
  </si>
  <si>
    <t>Conjuros diarios según nivel para un Bardo</t>
  </si>
  <si>
    <t>Conjuros diarios según Clase y el nivel de Clase</t>
  </si>
  <si>
    <t>Nivel de Bardo</t>
  </si>
  <si>
    <t>Conj. Diarios lvl 0</t>
  </si>
  <si>
    <t>Conj. Diarios lvl 1</t>
  </si>
  <si>
    <t>Conj. Diarios lvl 2</t>
  </si>
  <si>
    <t>Conj. Diarios lvl 3</t>
  </si>
  <si>
    <t>Conj. Diarios lvl 4</t>
  </si>
  <si>
    <t>Conj. Diarios lvl 5</t>
  </si>
  <si>
    <t>Conj. Diarios lvl 6</t>
  </si>
  <si>
    <t>Clase Lanz. Conjuros</t>
  </si>
  <si>
    <t>Conj. Lvl 0</t>
  </si>
  <si>
    <t>Conj. Lvl 1</t>
  </si>
  <si>
    <t>Conj. Lvl 2</t>
  </si>
  <si>
    <t>Conj. Lvl 3</t>
  </si>
  <si>
    <t>Conj. Lvl 4</t>
  </si>
  <si>
    <t>Conj. Lvl 5</t>
  </si>
  <si>
    <t>Conj. Lvl 6</t>
  </si>
  <si>
    <t>Conj. Lvl 7</t>
  </si>
  <si>
    <t>Conj. Lvl 8</t>
  </si>
  <si>
    <t>Conj. Lvl 9</t>
  </si>
  <si>
    <t>Conjuros diarios según nivel para un Clérigo / Druida</t>
  </si>
  <si>
    <t>Nivel de Clérigo</t>
  </si>
  <si>
    <t>Conj. Diarios lvl 7</t>
  </si>
  <si>
    <t>Conj. Diarios lvl 8</t>
  </si>
  <si>
    <t>Conj. Diarios lvl 9</t>
  </si>
  <si>
    <t>Conjuros diarios según nivel para un Explorador y Paladín</t>
  </si>
  <si>
    <t>Nivel de Explorador</t>
  </si>
  <si>
    <t>Conjuros diarios según nivel para un Mago</t>
  </si>
  <si>
    <t>Nivel de Mago</t>
  </si>
  <si>
    <t>Conjuros diarios según nivel para un Hechicero</t>
  </si>
  <si>
    <t>Nivel de Hechicero</t>
  </si>
  <si>
    <t>HABILIDADES SEGÚN CLASE</t>
  </si>
  <si>
    <t>Habilidad</t>
  </si>
  <si>
    <t>✗</t>
  </si>
  <si>
    <t>✓</t>
  </si>
  <si>
    <t>APTITUDES CLÁSICAS SEGÚN CLASE Y NIVEL</t>
  </si>
  <si>
    <t>Aptitudes Clasicas de Barbaro</t>
  </si>
  <si>
    <t>Aptitudes Clasicas de nivel 1</t>
  </si>
  <si>
    <t>Nivel</t>
  </si>
  <si>
    <t>Aptitudes de Barbaro</t>
  </si>
  <si>
    <t>Clase</t>
  </si>
  <si>
    <t>Aptitudes de Clase lvl 1</t>
  </si>
  <si>
    <t>Furia 1/día, movimiento de combate +5', Curación rápida 1</t>
  </si>
  <si>
    <t>Esquiva asombrosa</t>
  </si>
  <si>
    <t>Agarre Brutal</t>
  </si>
  <si>
    <t xml:space="preserve">Furia 2/día, Armas Brutales 1 incr., Movimiento de combate +10'
</t>
  </si>
  <si>
    <t xml:space="preserve">Curación rápida 5
</t>
  </si>
  <si>
    <t xml:space="preserve">Esquiva Asombrosa Mejorada.
</t>
  </si>
  <si>
    <t>RD 1/-, Armas Brutales, Movimiento de combate +15'</t>
  </si>
  <si>
    <t xml:space="preserve">Furia 3/día
</t>
  </si>
  <si>
    <t xml:space="preserve">Armas Brutales 2 incr.
</t>
  </si>
  <si>
    <t xml:space="preserve">RD 2/-, Curación rápida 10, Movimiento de combate +20'
</t>
  </si>
  <si>
    <t xml:space="preserve">Furia Mayor.
</t>
  </si>
  <si>
    <t>Furia 4/día</t>
  </si>
  <si>
    <t>RD 3/-, Movimiento de combate +25'</t>
  </si>
  <si>
    <t xml:space="preserve">Furia Indomable, Armas Brutales 3 incr.
</t>
  </si>
  <si>
    <t>Aptitudes Clasicas de nivel 2</t>
  </si>
  <si>
    <t xml:space="preserve">Curación rápida 15
</t>
  </si>
  <si>
    <t xml:space="preserve">RD 4/-, Furia 5/día, Movimiento de combate +30'
</t>
  </si>
  <si>
    <t>Aptitudes de Clase lvl 2</t>
  </si>
  <si>
    <t xml:space="preserve">Furia Incansable.
</t>
  </si>
  <si>
    <t xml:space="preserve">Agarre Brutal Enorme.
</t>
  </si>
  <si>
    <t xml:space="preserve">RD 5/-, Armas Brutales 4 incr., Movimiento de combate +35'
</t>
  </si>
  <si>
    <t xml:space="preserve">Furia 6/día, Furia Poderosa, Curación rápida 20
</t>
  </si>
  <si>
    <t>Aptitudes Clasicas de Bardo</t>
  </si>
  <si>
    <t>Aptitudes de Bardo</t>
  </si>
  <si>
    <r>
      <rPr>
        <sz val="10"/>
        <color rgb="FF000000"/>
        <rFont val="Arial"/>
      </rPr>
      <t xml:space="preserve">Conocimiento de bardo, contraoda, </t>
    </r>
    <r>
      <rPr>
        <i/>
        <sz val="10"/>
        <color rgb="FF000000"/>
        <rFont val="Arial"/>
      </rPr>
      <t>fascinar</t>
    </r>
    <r>
      <rPr>
        <sz val="10"/>
        <color rgb="FF000000"/>
        <rFont val="Arial"/>
      </rPr>
      <t>, infundir valor +1, música de bardo</t>
    </r>
  </si>
  <si>
    <t>Infundir Gran Aptitud</t>
  </si>
  <si>
    <t>Aptitudes Clasicas de nivel 3</t>
  </si>
  <si>
    <t>Sugestión</t>
  </si>
  <si>
    <t>Aptitudes de Clase lvl 3</t>
  </si>
  <si>
    <t>Infundir Valor +2</t>
  </si>
  <si>
    <t>Infundir Grandeza</t>
  </si>
  <si>
    <t>es -15 por cada nivel</t>
  </si>
  <si>
    <t>Canción de libertad</t>
  </si>
  <si>
    <t>Infundir Valor +3</t>
  </si>
  <si>
    <t>Infundir Heroicidad</t>
  </si>
  <si>
    <t>Sugestión en grupo</t>
  </si>
  <si>
    <t>Infundir Valor +4</t>
  </si>
  <si>
    <t>Aptitudes Clasicas de nivel 4</t>
  </si>
  <si>
    <t>Aptitudes Clásicas de Clérigo</t>
  </si>
  <si>
    <t>Aptitudes de Clase lvl 4</t>
  </si>
  <si>
    <t>Aptitudes de Clérigo</t>
  </si>
  <si>
    <t>Expulsar o reprender muertos vivientes</t>
  </si>
  <si>
    <t>Aptitudes Clasicas de nivel 5</t>
  </si>
  <si>
    <t>Aptitudes de Clase lvl 5</t>
  </si>
  <si>
    <t>Aptitudes Clásicas de Druida</t>
  </si>
  <si>
    <t>Aptitudes de Druida</t>
  </si>
  <si>
    <t>Compañero animal, empatía salvaje, sentido de la naturaleza</t>
  </si>
  <si>
    <t>Zancada forestal</t>
  </si>
  <si>
    <t>Pisada sin rastro</t>
  </si>
  <si>
    <t>Aptitudes Clasicas de nivel 6</t>
  </si>
  <si>
    <t>Resistir la atracción de la naturaleza</t>
  </si>
  <si>
    <t>Forma salvaje 1/día</t>
  </si>
  <si>
    <t>Aptitudes de Clase lvl 6</t>
  </si>
  <si>
    <t>Forma salvaje 2/día</t>
  </si>
  <si>
    <t>Forma salvaje 3/día</t>
  </si>
  <si>
    <t>Forma salvaje Grande</t>
  </si>
  <si>
    <t>Inmunidad al veneno</t>
  </si>
  <si>
    <t>Forma salvaje 4/día</t>
  </si>
  <si>
    <t>Forma salvaje Menuda</t>
  </si>
  <si>
    <t>Forma salvaje Planta</t>
  </si>
  <si>
    <t>Las mil caras</t>
  </si>
  <si>
    <t>Forma salvaje 5/día</t>
  </si>
  <si>
    <t>Cuerpo eterno, forma salvaje Enorme</t>
  </si>
  <si>
    <t>Forma salvaje Elemental 1/día</t>
  </si>
  <si>
    <t>Forma salvaje 6/día, elemental 2/día</t>
  </si>
  <si>
    <t>Aptitudes Clasicas de nivel 7</t>
  </si>
  <si>
    <t>Forma salvaje elemental 3/día, elemental Enorme</t>
  </si>
  <si>
    <t>Aptitudes de Clase lvl 7</t>
  </si>
  <si>
    <t>Aptitudes Clásicas de Explorador</t>
  </si>
  <si>
    <t>Aptitudes de Explorador</t>
  </si>
  <si>
    <t>Empatía salvaje, 1º Enemigo Predilecto, rastrear</t>
  </si>
  <si>
    <t>Estilo de Combate</t>
  </si>
  <si>
    <t>Aguante</t>
  </si>
  <si>
    <t>Compañero animal</t>
  </si>
  <si>
    <t>2º enemigo predilecto</t>
  </si>
  <si>
    <t>Estilo de combate mejorado</t>
  </si>
  <si>
    <t>Rastreador veloz</t>
  </si>
  <si>
    <t>Evasión</t>
  </si>
  <si>
    <t>3º Enemigo predilecto</t>
  </si>
  <si>
    <t>Aptitudes Clasicas de nivel 8</t>
  </si>
  <si>
    <t>Maestría con el estilo de combate</t>
  </si>
  <si>
    <t>Aptitudes de Clase lvl 8</t>
  </si>
  <si>
    <t>Camuflaje</t>
  </si>
  <si>
    <t>4º Enemigo predilecto</t>
  </si>
  <si>
    <t>Esconderse a plena vista</t>
  </si>
  <si>
    <t>5º Enemigo predilecto</t>
  </si>
  <si>
    <t>Aptitudes Clásicas de Guerrero</t>
  </si>
  <si>
    <t>Aptitudes de Guerrero</t>
  </si>
  <si>
    <t>Dote adicional</t>
  </si>
  <si>
    <t>Aptitudes Clasicas de nivel 9</t>
  </si>
  <si>
    <t>Aptitudes de Clase lvl 9</t>
  </si>
  <si>
    <t>Aptitudes Clasicas de nivel 10</t>
  </si>
  <si>
    <t>Aptitudes de Clase lvl 10</t>
  </si>
  <si>
    <t>Aptitudes Clásicas de Hechicero</t>
  </si>
  <si>
    <t>Convocar Familiar</t>
  </si>
  <si>
    <t>Aptitudes Clasicas de nivel 11</t>
  </si>
  <si>
    <t>Aptitudes de Clase lvl 11</t>
  </si>
  <si>
    <t>Aptitudes Clásicas de Mago</t>
  </si>
  <si>
    <t>Aptitudes Clasicas de nivel 12</t>
  </si>
  <si>
    <t>Convocar Familiar, Inscribir rollo de pergamino</t>
  </si>
  <si>
    <t>Aptitudes de Clase lvl 12</t>
  </si>
  <si>
    <t>Aptitudes Clasicas de nivel 13</t>
  </si>
  <si>
    <t>Aptitudes de Clase lvl 13</t>
  </si>
  <si>
    <t>Aptitudes Clásicas de Monje</t>
  </si>
  <si>
    <t>Dote adicional, impacto sin arma, ráfaga de golpes</t>
  </si>
  <si>
    <t>Dote adicional, evasión</t>
  </si>
  <si>
    <t>Mente en calma</t>
  </si>
  <si>
    <t>Impacto ki (mágico), ralentizar caída 20'</t>
  </si>
  <si>
    <t>Pureza corporal</t>
  </si>
  <si>
    <t>Dote adicional, ralentizar caída 30'</t>
  </si>
  <si>
    <t>Plenitud corporal,</t>
  </si>
  <si>
    <t>Aptitudes Clasicas de nivel 14</t>
  </si>
  <si>
    <t>Ralentizar caída 40'</t>
  </si>
  <si>
    <t>Evasión mejorada</t>
  </si>
  <si>
    <t>Aptitudes de Clase lvl 14</t>
  </si>
  <si>
    <t>Impacto ki (legal), ralentizar caída 50'</t>
  </si>
  <si>
    <t>Cuerpo diamantino, ráfaga mayor</t>
  </si>
  <si>
    <t>Paso abundante, ralentizar caída 60'</t>
  </si>
  <si>
    <t>Alma diamantina</t>
  </si>
  <si>
    <t>Ralentizar caída 70'</t>
  </si>
  <si>
    <t>Palma temblorosa</t>
  </si>
  <si>
    <t>Impacto ki (adamantino), ralentizar 80'</t>
  </si>
  <si>
    <t>Cuerpo eterno, lengua del sol y la luna</t>
  </si>
  <si>
    <t>Ralentizar caída 90'</t>
  </si>
  <si>
    <t>Cuerpo vacío</t>
  </si>
  <si>
    <t>Ralentizar caída cualquier distancia, yo perfecto</t>
  </si>
  <si>
    <t>Aptitudes Clásicas de Paladín</t>
  </si>
  <si>
    <t>Aptitudes Clasicas de nivel 15</t>
  </si>
  <si>
    <t>Aptitudes de Clase lvl 15</t>
  </si>
  <si>
    <r>
      <rPr>
        <sz val="10"/>
        <color rgb="FF000000"/>
        <rFont val="Arial"/>
      </rPr>
      <t xml:space="preserve">Aura de bien, castigar al mal 1/día, </t>
    </r>
    <r>
      <rPr>
        <i/>
        <sz val="10"/>
        <color rgb="FF000000"/>
        <rFont val="Arial"/>
      </rPr>
      <t>Detectar el mal</t>
    </r>
  </si>
  <si>
    <t>Imposición de manos, gracia divina</t>
  </si>
  <si>
    <t>Aura de valor, Salud divina</t>
  </si>
  <si>
    <t>Expulsar muertos vivientes</t>
  </si>
  <si>
    <t>Castigar al mal 2/día, Montura especial</t>
  </si>
  <si>
    <r>
      <rPr>
        <i/>
        <sz val="10"/>
        <color rgb="FF000000"/>
        <rFont val="Arial"/>
      </rPr>
      <t xml:space="preserve">Quitar enfermedad </t>
    </r>
    <r>
      <rPr>
        <sz val="10"/>
        <color rgb="FF000000"/>
        <rFont val="Arial"/>
      </rPr>
      <t>1/semana</t>
    </r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</si>
  <si>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2/semana</t>
    </r>
  </si>
  <si>
    <t>Castigar al mal 3/día</t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</si>
  <si>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3/semana</t>
    </r>
  </si>
  <si>
    <t>Aptitudes Clasicas de nivel 16</t>
  </si>
  <si>
    <r>
      <rPr>
        <sz val="10"/>
        <color rgb="FF000000"/>
        <rFont val="Arial"/>
      </rPr>
      <t xml:space="preserve">Castigar al mal 4/día, </t>
    </r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4/semana</t>
    </r>
  </si>
  <si>
    <t>Aptitudes de Clase lvl 16</t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</si>
  <si>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5/semana</t>
    </r>
  </si>
  <si>
    <t>Castigar al mal 5/día</t>
  </si>
  <si>
    <t>Aptitudes Clásicas de Pícaro</t>
  </si>
  <si>
    <t>Aptitudes Clásicas de Picaro</t>
  </si>
  <si>
    <t>Ataque furtivo +1d6, encontrar trampas</t>
  </si>
  <si>
    <t>Ataque furtivo +2d6, Sentido de las trampas +1</t>
  </si>
  <si>
    <t>Ataque furtivo +3d6</t>
  </si>
  <si>
    <t>Aptitudes Clasicas de nivel 17</t>
  </si>
  <si>
    <t>Sentido de las trampas +2</t>
  </si>
  <si>
    <t>Ataque furtivo +4d6</t>
  </si>
  <si>
    <t>Aptitudes de Clase lvl 17</t>
  </si>
  <si>
    <t>Esquiva asombrosa mejorada</t>
  </si>
  <si>
    <t>Ataque furtivo +5d6, Sentido de las trampas +3</t>
  </si>
  <si>
    <t>Aptitud especial</t>
  </si>
  <si>
    <t>Ataque furtivo +6d6</t>
  </si>
  <si>
    <t>Sentido de las trampas +4</t>
  </si>
  <si>
    <t>Aptitud especial, ataque furtivo +7d6</t>
  </si>
  <si>
    <t>Ataque furtivo +8d6, sentido de las trampas +5</t>
  </si>
  <si>
    <t>Ataque furtivo +9d6</t>
  </si>
  <si>
    <t>Sentido de las trampas +6</t>
  </si>
  <si>
    <t>Aptitud especial, Ataque furtivo +10d6</t>
  </si>
  <si>
    <t>Aptitudes Clasicas de nivel 18</t>
  </si>
  <si>
    <t>Aptitudes de Clase lvl 18</t>
  </si>
  <si>
    <t>Aptitudes Clasicas de nivel 19</t>
  </si>
  <si>
    <t>Aptitudes de Clase lvl 19</t>
  </si>
  <si>
    <t>Aptitudes Clasicas de nivel 20</t>
  </si>
  <si>
    <t>Aptitudes de Clase lvl 20</t>
  </si>
  <si>
    <t>Contenedores</t>
  </si>
  <si>
    <t>Capacidad</t>
  </si>
  <si>
    <t>Precio</t>
  </si>
  <si>
    <t>Beneficio</t>
  </si>
  <si>
    <t>Específico</t>
  </si>
  <si>
    <t>Barril</t>
  </si>
  <si>
    <t>2po</t>
  </si>
  <si>
    <t>Bolsa (para el cinto)</t>
  </si>
  <si>
    <t>1po</t>
  </si>
  <si>
    <t>Cofre</t>
  </si>
  <si>
    <t>No Mochila</t>
  </si>
  <si>
    <t>0pc</t>
  </si>
  <si>
    <t>Posible atar Petate, Cuerda y otros.</t>
  </si>
  <si>
    <t>Mochila Gran calidad</t>
  </si>
  <si>
    <t>100po</t>
  </si>
  <si>
    <t>Posible atar Petate, Cuerda, Tienda de Campaña y +1 Fue a llevar equipo</t>
  </si>
  <si>
    <t>Mochila Militar</t>
  </si>
  <si>
    <t>500po</t>
  </si>
  <si>
    <t>Posible desenfundar 4 armas como acción gratuita y +2 Fue a llevar equipo</t>
  </si>
  <si>
    <t>Odre</t>
  </si>
  <si>
    <t>4 usos/1lb uso</t>
  </si>
  <si>
    <t>Saco</t>
  </si>
  <si>
    <t>1pp</t>
  </si>
  <si>
    <t>Bolsa para componentes de conjuro</t>
  </si>
  <si>
    <t>5po</t>
  </si>
  <si>
    <t>Notas:</t>
  </si>
  <si>
    <t>#ERROR!</t>
  </si>
  <si>
    <t>Falta por subir</t>
  </si>
  <si>
    <t>Campaña:</t>
  </si>
  <si>
    <t>CASILLAS CORRIENDO</t>
  </si>
  <si>
    <t xml:space="preserve">1 lb por cada 50 monedas </t>
  </si>
  <si>
    <t>0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</si>
</sst>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'"/>
    <numFmt numFmtId="165" formatCode="0&quot; lb&quot;"/>
    <numFmt numFmtId="166" formatCode="0\'"/>
  </numFmts>
  <fonts count="48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9"/>
      <color theme="1"/>
      <name val="Arial"/>
    </font>
    <font>
      <sz val="10"/>
      <color rgb="FF000000"/>
      <name val="Calibri"/>
    </font>
    <font>
      <sz val="8"/>
      <color theme="1"/>
      <name val="Arial"/>
    </font>
    <font>
      <b/>
      <sz val="10"/>
      <color theme="1"/>
      <name val="Arial"/>
    </font>
    <font>
      <sz val="12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i/>
      <sz val="14"/>
      <color rgb="FFFFFFFF"/>
      <name val="Arial"/>
    </font>
    <font>
      <sz val="6"/>
      <color rgb="FFFFFFFF"/>
      <name val="Arial"/>
    </font>
    <font>
      <b/>
      <sz val="8"/>
      <color theme="1"/>
      <name val="Arial"/>
    </font>
    <font>
      <sz val="12"/>
      <color rgb="FF000000"/>
      <name val="Arial"/>
    </font>
    <font>
      <u/>
      <sz val="10"/>
      <color rgb="FF0000FF"/>
      <name val="Arial"/>
    </font>
    <font>
      <b/>
      <sz val="12"/>
      <color theme="1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8"/>
      <color rgb="FF000000"/>
      <name val="Arial"/>
    </font>
    <font>
      <b/>
      <sz val="14"/>
      <color rgb="FF000000"/>
      <name val="Arial"/>
    </font>
    <font>
      <sz val="10"/>
      <color theme="1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i/>
      <sz val="12"/>
      <color theme="1"/>
      <name val="Arial"/>
    </font>
    <font>
      <b/>
      <sz val="10"/>
      <color rgb="FFED7D31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sz val="11"/>
      <color rgb="FF9C0006"/>
      <name val="Calibri"/>
    </font>
    <font>
      <sz val="11"/>
      <color rgb="FF006100"/>
      <name val="Calibri"/>
    </font>
    <font>
      <sz val="11"/>
      <color rgb="FF000000"/>
      <name val="Calibri"/>
    </font>
    <font>
      <i/>
      <sz val="10"/>
      <color rgb="FF000000"/>
      <name val="Arial"/>
    </font>
    <font>
      <b/>
      <sz val="16"/>
      <color rgb="FFFFFFFF"/>
      <name val="Arial"/>
    </font>
    <font>
      <sz val="10"/>
      <color theme="1"/>
      <name val="Arial"/>
      <family val="2"/>
    </font>
    <font>
      <sz val="8"/>
      <name val="Arial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i/>
      <sz val="14"/>
      <color theme="0"/>
      <name val="Arial"/>
      <family val="2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  <font>
      <u/>
      <sz val="10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ED7D31"/>
        <bgColor rgb="FFED7D31"/>
      </patternFill>
    </fill>
    <fill>
      <patternFill patternType="solid">
        <fgColor rgb="FFD0CECE"/>
        <bgColor rgb="FFD0CECE"/>
      </patternFill>
    </fill>
    <fill>
      <patternFill patternType="solid">
        <fgColor rgb="FFFBE5D6"/>
        <bgColor rgb="FFFBE5D6"/>
      </patternFill>
    </fill>
    <fill>
      <patternFill patternType="solid">
        <fgColor rgb="FFC5E0B4"/>
        <bgColor rgb="FFC5E0B4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DBDBDB"/>
        <bgColor rgb="FFDBDBDB"/>
      </patternFill>
    </fill>
    <fill>
      <patternFill patternType="solid">
        <fgColor rgb="FFFFD966"/>
        <bgColor rgb="FFFFD966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D6DCE5"/>
        <bgColor rgb="FFD6DCE5"/>
      </patternFill>
    </fill>
    <fill>
      <patternFill patternType="solid">
        <fgColor rgb="FFDAE3F3"/>
        <bgColor rgb="FFDAE3F3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8A2FA"/>
        <bgColor rgb="FFF8A2FA"/>
      </patternFill>
    </fill>
    <fill>
      <patternFill patternType="solid">
        <fgColor rgb="FFFFCCFF"/>
        <bgColor rgb="FFFFCCFF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D9D9D9"/>
      </patternFill>
    </fill>
  </fills>
  <borders count="9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C55A11"/>
      </bottom>
      <diagonal/>
    </border>
    <border>
      <left/>
      <right style="thin">
        <color rgb="FF000000"/>
      </right>
      <top/>
      <bottom style="thick">
        <color rgb="FFC55A1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A9D18E"/>
      </bottom>
      <diagonal/>
    </border>
    <border>
      <left/>
      <right style="thin">
        <color rgb="FF000000"/>
      </right>
      <top/>
      <bottom style="thick">
        <color rgb="FFA9D18E"/>
      </bottom>
      <diagonal/>
    </border>
    <border>
      <left/>
      <right/>
      <top/>
      <bottom style="thick">
        <color rgb="FF5B9BD5"/>
      </bottom>
      <diagonal/>
    </border>
    <border>
      <left/>
      <right style="thin">
        <color rgb="FF000000"/>
      </right>
      <top/>
      <bottom style="thick">
        <color rgb="FF5B9BD5"/>
      </bottom>
      <diagonal/>
    </border>
    <border>
      <left/>
      <right/>
      <top style="thick">
        <color rgb="FF5B9BD5"/>
      </top>
      <bottom style="thick">
        <color rgb="FFFFC000"/>
      </bottom>
      <diagonal/>
    </border>
    <border>
      <left/>
      <right style="thin">
        <color rgb="FF000000"/>
      </right>
      <top style="thick">
        <color rgb="FF5B9BD5"/>
      </top>
      <bottom style="thick">
        <color rgb="FFFFC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843C0B"/>
      </bottom>
      <diagonal/>
    </border>
    <border>
      <left/>
      <right style="thin">
        <color rgb="FF000000"/>
      </right>
      <top/>
      <bottom style="thick">
        <color rgb="FF843C0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9DC3E6"/>
      </bottom>
      <diagonal/>
    </border>
    <border>
      <left/>
      <right/>
      <top style="thin">
        <color rgb="FFF4B183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/>
      <top style="thin">
        <color rgb="FFF4B183"/>
      </top>
      <bottom/>
      <diagonal/>
    </border>
    <border>
      <left/>
      <right/>
      <top style="thin">
        <color rgb="FF9DC3E6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8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4" fontId="3" fillId="0" borderId="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wrapText="1"/>
    </xf>
    <xf numFmtId="0" fontId="3" fillId="0" borderId="2" xfId="0" applyFont="1" applyBorder="1" applyAlignment="1">
      <alignment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wrapText="1"/>
    </xf>
    <xf numFmtId="0" fontId="13" fillId="3" borderId="26" xfId="0" applyFont="1" applyFill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3" fillId="0" borderId="16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3" fillId="0" borderId="20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16" xfId="0" applyFont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0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wrapText="1"/>
    </xf>
    <xf numFmtId="0" fontId="10" fillId="3" borderId="39" xfId="0" applyFont="1" applyFill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wrapText="1"/>
    </xf>
    <xf numFmtId="1" fontId="4" fillId="0" borderId="20" xfId="0" applyNumberFormat="1" applyFont="1" applyBorder="1" applyAlignment="1">
      <alignment horizontal="center" wrapText="1"/>
    </xf>
    <xf numFmtId="1" fontId="3" fillId="0" borderId="0" xfId="0" applyNumberFormat="1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1" fillId="6" borderId="15" xfId="0" applyFont="1" applyFill="1" applyBorder="1" applyAlignment="1">
      <alignment wrapText="1"/>
    </xf>
    <xf numFmtId="0" fontId="3" fillId="6" borderId="15" xfId="0" applyFont="1" applyFill="1" applyBorder="1" applyAlignment="1">
      <alignment wrapText="1"/>
    </xf>
    <xf numFmtId="0" fontId="10" fillId="6" borderId="15" xfId="0" applyFont="1" applyFill="1" applyBorder="1" applyAlignment="1">
      <alignment wrapText="1"/>
    </xf>
    <xf numFmtId="0" fontId="5" fillId="6" borderId="15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vertical="top" wrapText="1"/>
    </xf>
    <xf numFmtId="0" fontId="4" fillId="6" borderId="15" xfId="0" applyFont="1" applyFill="1" applyBorder="1" applyAlignment="1">
      <alignment wrapText="1"/>
    </xf>
    <xf numFmtId="0" fontId="3" fillId="6" borderId="15" xfId="0" applyFont="1" applyFill="1" applyBorder="1" applyAlignment="1">
      <alignment horizontal="center" wrapText="1"/>
    </xf>
    <xf numFmtId="0" fontId="3" fillId="0" borderId="46" xfId="0" applyFont="1" applyBorder="1" applyAlignment="1">
      <alignment wrapText="1"/>
    </xf>
    <xf numFmtId="0" fontId="4" fillId="0" borderId="46" xfId="0" applyFont="1" applyBorder="1" applyAlignment="1">
      <alignment wrapText="1"/>
    </xf>
    <xf numFmtId="0" fontId="4" fillId="0" borderId="47" xfId="0" applyFont="1" applyBorder="1" applyAlignment="1">
      <alignment wrapText="1"/>
    </xf>
    <xf numFmtId="0" fontId="18" fillId="0" borderId="46" xfId="0" applyFont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wrapText="1"/>
    </xf>
    <xf numFmtId="0" fontId="19" fillId="3" borderId="56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19" xfId="0" applyFont="1" applyBorder="1" applyAlignment="1">
      <alignment horizontal="center" vertical="center" wrapText="1"/>
    </xf>
    <xf numFmtId="0" fontId="3" fillId="0" borderId="63" xfId="0" applyFont="1" applyBorder="1" applyAlignment="1">
      <alignment wrapText="1"/>
    </xf>
    <xf numFmtId="0" fontId="4" fillId="0" borderId="63" xfId="0" applyFont="1" applyBorder="1" applyAlignment="1">
      <alignment wrapText="1"/>
    </xf>
    <xf numFmtId="0" fontId="3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2" xfId="0" applyFont="1" applyBorder="1" applyAlignment="1">
      <alignment wrapText="1"/>
    </xf>
    <xf numFmtId="0" fontId="21" fillId="3" borderId="6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left" wrapText="1"/>
    </xf>
    <xf numFmtId="0" fontId="4" fillId="6" borderId="46" xfId="0" applyFont="1" applyFill="1" applyBorder="1" applyAlignment="1">
      <alignment wrapText="1"/>
    </xf>
    <xf numFmtId="165" fontId="3" fillId="0" borderId="5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wrapText="1"/>
    </xf>
    <xf numFmtId="0" fontId="24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19" xfId="0" applyFont="1" applyBorder="1" applyAlignment="1">
      <alignment horizontal="center" wrapText="1"/>
    </xf>
    <xf numFmtId="0" fontId="4" fillId="10" borderId="5" xfId="0" applyFont="1" applyFill="1" applyBorder="1" applyAlignment="1">
      <alignment wrapText="1"/>
    </xf>
    <xf numFmtId="165" fontId="4" fillId="10" borderId="5" xfId="0" applyNumberFormat="1" applyFont="1" applyFill="1" applyBorder="1" applyAlignment="1">
      <alignment wrapText="1"/>
    </xf>
    <xf numFmtId="0" fontId="27" fillId="0" borderId="0" xfId="0" applyFont="1"/>
    <xf numFmtId="0" fontId="4" fillId="6" borderId="69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51" xfId="0" applyFont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28" fillId="0" borderId="52" xfId="0" applyFont="1" applyBorder="1" applyAlignment="1">
      <alignment wrapText="1"/>
    </xf>
    <xf numFmtId="0" fontId="4" fillId="0" borderId="70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57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 wrapText="1"/>
    </xf>
    <xf numFmtId="0" fontId="30" fillId="19" borderId="5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 wrapText="1"/>
    </xf>
    <xf numFmtId="0" fontId="30" fillId="20" borderId="5" xfId="0" applyFont="1" applyFill="1" applyBorder="1" applyAlignment="1">
      <alignment horizontal="center" vertical="center" wrapText="1"/>
    </xf>
    <xf numFmtId="0" fontId="30" fillId="21" borderId="5" xfId="0" applyFont="1" applyFill="1" applyBorder="1" applyAlignment="1">
      <alignment horizontal="center" vertical="center" wrapText="1"/>
    </xf>
    <xf numFmtId="0" fontId="30" fillId="11" borderId="5" xfId="0" applyFont="1" applyFill="1" applyBorder="1" applyAlignment="1">
      <alignment horizontal="center" vertical="center" wrapText="1"/>
    </xf>
    <xf numFmtId="0" fontId="30" fillId="22" borderId="5" xfId="0" applyFont="1" applyFill="1" applyBorder="1" applyAlignment="1">
      <alignment horizontal="center" vertical="center" wrapText="1"/>
    </xf>
    <xf numFmtId="0" fontId="30" fillId="23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0" fontId="3" fillId="20" borderId="5" xfId="0" applyFont="1" applyFill="1" applyBorder="1" applyAlignment="1">
      <alignment vertical="center" wrapText="1"/>
    </xf>
    <xf numFmtId="0" fontId="3" fillId="21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22" borderId="5" xfId="0" applyFont="1" applyFill="1" applyBorder="1" applyAlignment="1">
      <alignment vertical="center" wrapText="1"/>
    </xf>
    <xf numFmtId="0" fontId="3" fillId="23" borderId="5" xfId="0" applyFont="1" applyFill="1" applyBorder="1" applyAlignment="1">
      <alignment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9" fillId="10" borderId="5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1" fontId="4" fillId="10" borderId="5" xfId="0" applyNumberFormat="1" applyFont="1" applyFill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31" fillId="10" borderId="5" xfId="0" applyFont="1" applyFill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4" fillId="6" borderId="5" xfId="0" applyFont="1" applyFill="1" applyBorder="1" applyAlignment="1">
      <alignment wrapText="1"/>
    </xf>
    <xf numFmtId="0" fontId="4" fillId="7" borderId="5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20" fillId="3" borderId="14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1" fontId="4" fillId="10" borderId="5" xfId="0" applyNumberFormat="1" applyFont="1" applyFill="1" applyBorder="1" applyAlignment="1">
      <alignment horizontal="center" vertical="center" wrapText="1"/>
    </xf>
    <xf numFmtId="0" fontId="31" fillId="10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29" fillId="10" borderId="76" xfId="0" applyFont="1" applyFill="1" applyBorder="1" applyAlignment="1">
      <alignment horizontal="center" vertical="center" wrapText="1"/>
    </xf>
    <xf numFmtId="1" fontId="4" fillId="10" borderId="77" xfId="0" applyNumberFormat="1" applyFont="1" applyFill="1" applyBorder="1" applyAlignment="1">
      <alignment horizontal="center" vertical="center" wrapText="1"/>
    </xf>
    <xf numFmtId="0" fontId="4" fillId="10" borderId="77" xfId="0" applyFont="1" applyFill="1" applyBorder="1" applyAlignment="1">
      <alignment horizontal="center" vertical="center" wrapText="1"/>
    </xf>
    <xf numFmtId="0" fontId="31" fillId="10" borderId="77" xfId="0" applyFont="1" applyFill="1" applyBorder="1" applyAlignment="1">
      <alignment horizontal="center" vertical="center" wrapText="1"/>
    </xf>
    <xf numFmtId="0" fontId="4" fillId="7" borderId="77" xfId="0" applyFont="1" applyFill="1" applyBorder="1" applyAlignment="1">
      <alignment horizontal="center" vertical="center" wrapText="1"/>
    </xf>
    <xf numFmtId="0" fontId="4" fillId="10" borderId="78" xfId="0" applyFont="1" applyFill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wrapText="1"/>
    </xf>
    <xf numFmtId="0" fontId="29" fillId="6" borderId="5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1" fontId="4" fillId="6" borderId="5" xfId="0" applyNumberFormat="1" applyFont="1" applyFill="1" applyBorder="1" applyAlignment="1">
      <alignment horizontal="center" wrapText="1"/>
    </xf>
    <xf numFmtId="0" fontId="31" fillId="6" borderId="5" xfId="0" applyFont="1" applyFill="1" applyBorder="1" applyAlignment="1">
      <alignment horizontal="center" wrapText="1"/>
    </xf>
    <xf numFmtId="0" fontId="31" fillId="7" borderId="5" xfId="0" applyFont="1" applyFill="1" applyBorder="1" applyAlignment="1">
      <alignment horizontal="center" wrapText="1"/>
    </xf>
    <xf numFmtId="0" fontId="29" fillId="6" borderId="7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32" fillId="10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29" fillId="7" borderId="76" xfId="0" applyFont="1" applyFill="1" applyBorder="1" applyAlignment="1">
      <alignment horizontal="center" vertical="center" wrapText="1"/>
    </xf>
    <xf numFmtId="0" fontId="4" fillId="10" borderId="77" xfId="0" applyFont="1" applyFill="1" applyBorder="1" applyAlignment="1">
      <alignment horizontal="center" wrapText="1"/>
    </xf>
    <xf numFmtId="1" fontId="4" fillId="10" borderId="77" xfId="0" applyNumberFormat="1" applyFont="1" applyFill="1" applyBorder="1" applyAlignment="1">
      <alignment horizontal="center" wrapText="1"/>
    </xf>
    <xf numFmtId="0" fontId="31" fillId="7" borderId="77" xfId="0" applyFont="1" applyFill="1" applyBorder="1" applyAlignment="1">
      <alignment horizontal="center" wrapText="1"/>
    </xf>
    <xf numFmtId="0" fontId="4" fillId="7" borderId="77" xfId="0" applyFont="1" applyFill="1" applyBorder="1" applyAlignment="1">
      <alignment horizontal="center" wrapText="1"/>
    </xf>
    <xf numFmtId="0" fontId="4" fillId="10" borderId="78" xfId="0" applyFont="1" applyFill="1" applyBorder="1" applyAlignment="1">
      <alignment horizontal="center" wrapText="1"/>
    </xf>
    <xf numFmtId="0" fontId="9" fillId="3" borderId="75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" fontId="4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wrapText="1"/>
    </xf>
    <xf numFmtId="0" fontId="4" fillId="17" borderId="7" xfId="0" applyFont="1" applyFill="1" applyBorder="1" applyAlignment="1">
      <alignment horizontal="center" vertical="center" wrapText="1"/>
    </xf>
    <xf numFmtId="1" fontId="4" fillId="0" borderId="30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4" fillId="0" borderId="31" xfId="0" applyNumberFormat="1" applyFont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 applyAlignment="1">
      <alignment horizontal="right" vertical="center" wrapText="1"/>
    </xf>
    <xf numFmtId="0" fontId="18" fillId="2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wrapText="1"/>
    </xf>
    <xf numFmtId="0" fontId="8" fillId="9" borderId="15" xfId="0" applyFont="1" applyFill="1" applyBorder="1" applyAlignment="1">
      <alignment vertical="center" wrapText="1"/>
    </xf>
    <xf numFmtId="0" fontId="8" fillId="0" borderId="79" xfId="0" applyFont="1" applyBorder="1" applyAlignment="1">
      <alignment vertical="center" wrapText="1"/>
    </xf>
    <xf numFmtId="0" fontId="4" fillId="11" borderId="80" xfId="0" applyFont="1" applyFill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34" fillId="28" borderId="5" xfId="0" applyNumberFormat="1" applyFont="1" applyFill="1" applyBorder="1" applyAlignment="1">
      <alignment horizontal="center" wrapText="1"/>
    </xf>
    <xf numFmtId="0" fontId="35" fillId="29" borderId="1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49" fontId="34" fillId="28" borderId="77" xfId="0" applyNumberFormat="1" applyFont="1" applyFill="1" applyBorder="1" applyAlignment="1">
      <alignment horizontal="center" wrapText="1"/>
    </xf>
    <xf numFmtId="0" fontId="33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7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4" fillId="30" borderId="15" xfId="0" applyFont="1" applyFill="1" applyBorder="1" applyAlignment="1">
      <alignment wrapText="1"/>
    </xf>
    <xf numFmtId="0" fontId="4" fillId="31" borderId="15" xfId="0" applyFont="1" applyFill="1" applyBorder="1" applyAlignment="1">
      <alignment wrapText="1"/>
    </xf>
    <xf numFmtId="0" fontId="11" fillId="0" borderId="0" xfId="0" applyFont="1" applyAlignment="1">
      <alignment vertical="center" wrapText="1"/>
    </xf>
    <xf numFmtId="0" fontId="4" fillId="32" borderId="15" xfId="0" applyFont="1" applyFill="1" applyBorder="1" applyAlignment="1">
      <alignment wrapText="1"/>
    </xf>
    <xf numFmtId="0" fontId="4" fillId="33" borderId="15" xfId="0" applyFont="1" applyFill="1" applyBorder="1" applyAlignment="1">
      <alignment wrapText="1"/>
    </xf>
    <xf numFmtId="0" fontId="4" fillId="9" borderId="15" xfId="0" applyFont="1" applyFill="1" applyBorder="1" applyAlignment="1">
      <alignment wrapText="1"/>
    </xf>
    <xf numFmtId="0" fontId="4" fillId="24" borderId="15" xfId="0" applyFont="1" applyFill="1" applyBorder="1" applyAlignment="1">
      <alignment wrapText="1"/>
    </xf>
    <xf numFmtId="0" fontId="4" fillId="34" borderId="15" xfId="0" applyFont="1" applyFill="1" applyBorder="1" applyAlignment="1">
      <alignment wrapText="1"/>
    </xf>
    <xf numFmtId="0" fontId="4" fillId="35" borderId="15" xfId="0" applyFont="1" applyFill="1" applyBorder="1" applyAlignment="1">
      <alignment wrapText="1"/>
    </xf>
    <xf numFmtId="0" fontId="37" fillId="35" borderId="15" xfId="0" applyFont="1" applyFill="1" applyBorder="1" applyAlignment="1">
      <alignment wrapText="1"/>
    </xf>
    <xf numFmtId="0" fontId="4" fillId="26" borderId="15" xfId="0" applyFont="1" applyFill="1" applyBorder="1" applyAlignment="1">
      <alignment wrapText="1"/>
    </xf>
    <xf numFmtId="0" fontId="37" fillId="30" borderId="15" xfId="0" applyFont="1" applyFill="1" applyBorder="1" applyAlignment="1">
      <alignment wrapText="1"/>
    </xf>
    <xf numFmtId="165" fontId="4" fillId="0" borderId="0" xfId="0" applyNumberFormat="1" applyFont="1" applyAlignment="1">
      <alignment wrapText="1"/>
    </xf>
    <xf numFmtId="0" fontId="3" fillId="36" borderId="42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wrapText="1"/>
    </xf>
    <xf numFmtId="0" fontId="11" fillId="37" borderId="42" xfId="0" applyFont="1" applyFill="1" applyBorder="1" applyAlignment="1">
      <alignment wrapText="1"/>
    </xf>
    <xf numFmtId="0" fontId="3" fillId="37" borderId="42" xfId="0" applyFont="1" applyFill="1" applyBorder="1" applyAlignment="1">
      <alignment wrapText="1"/>
    </xf>
    <xf numFmtId="0" fontId="3" fillId="38" borderId="42" xfId="0" applyFont="1" applyFill="1" applyBorder="1" applyAlignment="1">
      <alignment horizontal="center" wrapText="1"/>
    </xf>
    <xf numFmtId="0" fontId="17" fillId="37" borderId="42" xfId="0" applyFont="1" applyFill="1" applyBorder="1" applyAlignment="1">
      <alignment horizontal="center" wrapText="1"/>
    </xf>
    <xf numFmtId="0" fontId="5" fillId="37" borderId="42" xfId="0" applyFont="1" applyFill="1" applyBorder="1" applyAlignment="1">
      <alignment horizontal="center" wrapText="1"/>
    </xf>
    <xf numFmtId="0" fontId="3" fillId="37" borderId="42" xfId="0" applyFont="1" applyFill="1" applyBorder="1" applyAlignment="1">
      <alignment vertical="top" wrapText="1"/>
    </xf>
    <xf numFmtId="0" fontId="3" fillId="37" borderId="42" xfId="0" applyFont="1" applyFill="1" applyBorder="1" applyAlignment="1">
      <alignment horizontal="center" vertical="center" wrapText="1"/>
    </xf>
    <xf numFmtId="0" fontId="3" fillId="39" borderId="42" xfId="0" applyFont="1" applyFill="1" applyBorder="1" applyAlignment="1">
      <alignment wrapText="1"/>
    </xf>
    <xf numFmtId="0" fontId="3" fillId="39" borderId="42" xfId="0" applyFont="1" applyFill="1" applyBorder="1" applyAlignment="1">
      <alignment horizontal="center" wrapText="1"/>
    </xf>
    <xf numFmtId="0" fontId="3" fillId="39" borderId="42" xfId="0" applyFont="1" applyFill="1" applyBorder="1" applyAlignment="1">
      <alignment horizontal="center" vertical="center" wrapText="1"/>
    </xf>
    <xf numFmtId="0" fontId="0" fillId="39" borderId="42" xfId="0" applyFill="1" applyBorder="1"/>
    <xf numFmtId="0" fontId="4" fillId="37" borderId="42" xfId="0" applyFont="1" applyFill="1" applyBorder="1" applyAlignment="1">
      <alignment wrapText="1"/>
    </xf>
    <xf numFmtId="0" fontId="4" fillId="37" borderId="42" xfId="0" applyFont="1" applyFill="1" applyBorder="1" applyAlignment="1">
      <alignment horizontal="center" vertical="center" wrapText="1"/>
    </xf>
    <xf numFmtId="0" fontId="4" fillId="39" borderId="42" xfId="0" applyFont="1" applyFill="1" applyBorder="1" applyAlignment="1">
      <alignment wrapText="1"/>
    </xf>
    <xf numFmtId="0" fontId="4" fillId="39" borderId="42" xfId="0" applyFont="1" applyFill="1" applyBorder="1" applyAlignment="1">
      <alignment horizontal="center" wrapText="1"/>
    </xf>
    <xf numFmtId="0" fontId="4" fillId="39" borderId="42" xfId="0" applyFont="1" applyFill="1" applyBorder="1" applyAlignment="1">
      <alignment horizontal="center" vertical="center" wrapText="1"/>
    </xf>
    <xf numFmtId="0" fontId="3" fillId="37" borderId="42" xfId="0" applyFont="1" applyFill="1" applyBorder="1" applyAlignment="1">
      <alignment horizontal="center" wrapText="1"/>
    </xf>
    <xf numFmtId="0" fontId="43" fillId="3" borderId="15" xfId="0" applyFont="1" applyFill="1" applyBorder="1" applyAlignment="1">
      <alignment horizontal="right" wrapText="1"/>
    </xf>
    <xf numFmtId="0" fontId="6" fillId="41" borderId="42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 wrapText="1"/>
    </xf>
    <xf numFmtId="0" fontId="42" fillId="42" borderId="15" xfId="0" applyFont="1" applyFill="1" applyBorder="1" applyAlignment="1">
      <alignment wrapText="1"/>
    </xf>
    <xf numFmtId="0" fontId="39" fillId="0" borderId="5" xfId="0" applyFont="1" applyBorder="1" applyAlignment="1">
      <alignment horizontal="center" vertical="center" wrapText="1"/>
    </xf>
    <xf numFmtId="0" fontId="3" fillId="0" borderId="42" xfId="0" applyFont="1" applyBorder="1" applyAlignment="1">
      <alignment wrapText="1"/>
    </xf>
    <xf numFmtId="49" fontId="39" fillId="0" borderId="89" xfId="0" applyNumberFormat="1" applyFont="1" applyBorder="1" applyAlignment="1">
      <alignment horizontal="center" wrapText="1"/>
    </xf>
    <xf numFmtId="0" fontId="3" fillId="0" borderId="91" xfId="0" applyFont="1" applyBorder="1" applyAlignment="1">
      <alignment wrapText="1"/>
    </xf>
    <xf numFmtId="0" fontId="3" fillId="0" borderId="89" xfId="0" applyFont="1" applyBorder="1" applyAlignment="1">
      <alignment wrapText="1"/>
    </xf>
    <xf numFmtId="0" fontId="4" fillId="0" borderId="53" xfId="0" applyFont="1" applyBorder="1" applyAlignment="1">
      <alignment wrapText="1"/>
    </xf>
    <xf numFmtId="0" fontId="39" fillId="0" borderId="1" xfId="0" applyFont="1" applyBorder="1" applyAlignment="1">
      <alignment horizont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92" xfId="0" applyFont="1" applyFill="1" applyBorder="1" applyAlignment="1">
      <alignment horizontal="center" vertical="center" wrapText="1"/>
    </xf>
    <xf numFmtId="0" fontId="47" fillId="0" borderId="63" xfId="0" applyFont="1" applyBorder="1" applyAlignment="1">
      <alignment wrapText="1"/>
    </xf>
    <xf numFmtId="0" fontId="14" fillId="0" borderId="86" xfId="0" applyFont="1" applyBorder="1" applyAlignment="1">
      <alignment horizontal="center" wrapText="1"/>
    </xf>
    <xf numFmtId="0" fontId="2" fillId="0" borderId="86" xfId="0" applyFont="1" applyBorder="1"/>
    <xf numFmtId="0" fontId="2" fillId="0" borderId="87" xfId="0" applyFont="1" applyBorder="1"/>
    <xf numFmtId="0" fontId="10" fillId="3" borderId="24" xfId="0" applyFont="1" applyFill="1" applyBorder="1" applyAlignment="1">
      <alignment wrapText="1"/>
    </xf>
    <xf numFmtId="0" fontId="2" fillId="0" borderId="25" xfId="0" applyFont="1" applyBorder="1"/>
    <xf numFmtId="0" fontId="10" fillId="3" borderId="19" xfId="0" applyFont="1" applyFill="1" applyBorder="1" applyAlignment="1">
      <alignment horizontal="center" wrapText="1"/>
    </xf>
    <xf numFmtId="0" fontId="2" fillId="0" borderId="20" xfId="0" applyFont="1" applyBorder="1"/>
    <xf numFmtId="0" fontId="2" fillId="0" borderId="21" xfId="0" applyFont="1" applyBorder="1"/>
    <xf numFmtId="0" fontId="10" fillId="3" borderId="37" xfId="0" applyFont="1" applyFill="1" applyBorder="1" applyAlignment="1">
      <alignment horizontal="center" wrapText="1"/>
    </xf>
    <xf numFmtId="0" fontId="2" fillId="0" borderId="35" xfId="0" applyFont="1" applyBorder="1"/>
    <xf numFmtId="0" fontId="10" fillId="3" borderId="34" xfId="0" applyFont="1" applyFill="1" applyBorder="1" applyAlignment="1">
      <alignment horizontal="center" wrapText="1"/>
    </xf>
    <xf numFmtId="0" fontId="11" fillId="3" borderId="34" xfId="0" applyFont="1" applyFill="1" applyBorder="1" applyAlignment="1">
      <alignment horizontal="center" wrapText="1"/>
    </xf>
    <xf numFmtId="0" fontId="2" fillId="0" borderId="36" xfId="0" applyFont="1" applyBorder="1"/>
    <xf numFmtId="0" fontId="1" fillId="0" borderId="27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1" xfId="0" applyFont="1" applyBorder="1"/>
    <xf numFmtId="0" fontId="2" fillId="0" borderId="30" xfId="0" applyFont="1" applyBorder="1"/>
    <xf numFmtId="49" fontId="15" fillId="6" borderId="27" xfId="0" applyNumberFormat="1" applyFont="1" applyFill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wrapText="1"/>
    </xf>
    <xf numFmtId="0" fontId="3" fillId="0" borderId="27" xfId="0" applyFont="1" applyBorder="1" applyAlignment="1">
      <alignment horizontal="center" wrapText="1"/>
    </xf>
    <xf numFmtId="165" fontId="3" fillId="0" borderId="31" xfId="0" applyNumberFormat="1" applyFont="1" applyBorder="1" applyAlignment="1">
      <alignment horizontal="center" wrapText="1"/>
    </xf>
    <xf numFmtId="0" fontId="2" fillId="0" borderId="33" xfId="0" applyFont="1" applyBorder="1"/>
    <xf numFmtId="0" fontId="3" fillId="0" borderId="29" xfId="0" applyFont="1" applyBorder="1" applyAlignment="1">
      <alignment horizontal="center" wrapText="1"/>
    </xf>
    <xf numFmtId="0" fontId="3" fillId="0" borderId="18" xfId="0" applyFont="1" applyBorder="1" applyAlignment="1">
      <alignment horizontal="left" vertical="center" wrapText="1"/>
    </xf>
    <xf numFmtId="0" fontId="0" fillId="0" borderId="0" xfId="0"/>
    <xf numFmtId="0" fontId="3" fillId="0" borderId="29" xfId="0" applyFont="1" applyBorder="1" applyAlignment="1">
      <alignment wrapText="1"/>
    </xf>
    <xf numFmtId="0" fontId="2" fillId="0" borderId="85" xfId="0" applyFont="1" applyBorder="1"/>
    <xf numFmtId="0" fontId="41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wrapText="1"/>
    </xf>
    <xf numFmtId="0" fontId="2" fillId="0" borderId="32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16" xfId="0" applyFont="1" applyBorder="1"/>
    <xf numFmtId="0" fontId="7" fillId="0" borderId="19" xfId="0" applyFont="1" applyBorder="1" applyAlignment="1">
      <alignment horizont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40" borderId="42" xfId="0" applyFont="1" applyFill="1" applyBorder="1" applyAlignment="1">
      <alignment wrapText="1"/>
    </xf>
    <xf numFmtId="0" fontId="2" fillId="41" borderId="42" xfId="0" applyFont="1" applyFill="1" applyBorder="1"/>
    <xf numFmtId="0" fontId="10" fillId="40" borderId="42" xfId="0" applyFont="1" applyFill="1" applyBorder="1" applyAlignment="1">
      <alignment horizontal="center" wrapText="1"/>
    </xf>
    <xf numFmtId="0" fontId="43" fillId="3" borderId="24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" fillId="0" borderId="18" xfId="0" applyFont="1" applyBorder="1" applyAlignment="1">
      <alignment wrapText="1"/>
    </xf>
    <xf numFmtId="0" fontId="3" fillId="0" borderId="18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/>
    <xf numFmtId="0" fontId="3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10" xfId="0" applyFont="1" applyBorder="1" applyAlignment="1">
      <alignment horizontal="center" wrapText="1"/>
    </xf>
    <xf numFmtId="0" fontId="2" fillId="0" borderId="11" xfId="0" applyFont="1" applyBorder="1"/>
    <xf numFmtId="0" fontId="4" fillId="0" borderId="12" xfId="0" applyFont="1" applyBorder="1" applyAlignment="1">
      <alignment horizontal="center" wrapText="1"/>
    </xf>
    <xf numFmtId="0" fontId="2" fillId="0" borderId="13" xfId="0" applyFont="1" applyBorder="1"/>
    <xf numFmtId="0" fontId="4" fillId="0" borderId="22" xfId="0" applyFont="1" applyBorder="1" applyAlignment="1">
      <alignment horizontal="center" wrapText="1"/>
    </xf>
    <xf numFmtId="0" fontId="2" fillId="0" borderId="23" xfId="0" applyFont="1" applyBorder="1"/>
    <xf numFmtId="0" fontId="3" fillId="2" borderId="1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wrapText="1"/>
    </xf>
    <xf numFmtId="0" fontId="10" fillId="3" borderId="24" xfId="0" applyFont="1" applyFill="1" applyBorder="1" applyAlignment="1">
      <alignment horizontal="center" wrapText="1"/>
    </xf>
    <xf numFmtId="0" fontId="3" fillId="0" borderId="27" xfId="0" applyFont="1" applyBorder="1" applyAlignment="1">
      <alignment horizontal="left" vertical="top" wrapText="1"/>
    </xf>
    <xf numFmtId="0" fontId="2" fillId="0" borderId="18" xfId="0" applyFont="1" applyBorder="1"/>
    <xf numFmtId="0" fontId="12" fillId="3" borderId="2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7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wrapText="1"/>
    </xf>
    <xf numFmtId="0" fontId="3" fillId="37" borderId="42" xfId="0" applyFont="1" applyFill="1" applyBorder="1" applyAlignment="1">
      <alignment horizontal="left" vertical="center" wrapText="1"/>
    </xf>
    <xf numFmtId="0" fontId="2" fillId="39" borderId="42" xfId="0" applyFont="1" applyFill="1" applyBorder="1"/>
    <xf numFmtId="0" fontId="3" fillId="37" borderId="42" xfId="0" applyFont="1" applyFill="1" applyBorder="1" applyAlignment="1">
      <alignment horizontal="center" vertical="center" wrapText="1"/>
    </xf>
    <xf numFmtId="0" fontId="0" fillId="39" borderId="42" xfId="0" applyFill="1" applyBorder="1"/>
    <xf numFmtId="0" fontId="11" fillId="6" borderId="40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2" fillId="0" borderId="42" xfId="0" applyFont="1" applyBorder="1"/>
    <xf numFmtId="0" fontId="3" fillId="6" borderId="40" xfId="0" applyFont="1" applyFill="1" applyBorder="1" applyAlignment="1">
      <alignment horizontal="left" vertical="top" wrapText="1"/>
    </xf>
    <xf numFmtId="49" fontId="39" fillId="0" borderId="19" xfId="0" applyNumberFormat="1" applyFont="1" applyBorder="1" applyAlignment="1">
      <alignment horizontal="center" wrapText="1"/>
    </xf>
    <xf numFmtId="49" fontId="39" fillId="0" borderId="38" xfId="0" applyNumberFormat="1" applyFont="1" applyBorder="1" applyAlignment="1">
      <alignment horizontal="center" wrapText="1"/>
    </xf>
    <xf numFmtId="49" fontId="39" fillId="0" borderId="88" xfId="0" applyNumberFormat="1" applyFont="1" applyBorder="1" applyAlignment="1">
      <alignment horizontal="center" wrapText="1"/>
    </xf>
    <xf numFmtId="49" fontId="39" fillId="0" borderId="90" xfId="0" applyNumberFormat="1" applyFont="1" applyBorder="1" applyAlignment="1">
      <alignment horizontal="center" wrapText="1"/>
    </xf>
    <xf numFmtId="0" fontId="3" fillId="0" borderId="90" xfId="0" applyFont="1" applyBorder="1" applyAlignment="1">
      <alignment horizontal="center" wrapText="1"/>
    </xf>
    <xf numFmtId="0" fontId="3" fillId="0" borderId="88" xfId="0" applyFont="1" applyBorder="1" applyAlignment="1">
      <alignment horizontal="center" wrapText="1"/>
    </xf>
    <xf numFmtId="0" fontId="44" fillId="41" borderId="42" xfId="0" applyFont="1" applyFill="1" applyBorder="1" applyAlignment="1">
      <alignment horizontal="center" vertical="center" wrapText="1"/>
    </xf>
    <xf numFmtId="0" fontId="45" fillId="0" borderId="84" xfId="0" applyFont="1" applyBorder="1" applyAlignment="1">
      <alignment horizontal="center"/>
    </xf>
    <xf numFmtId="0" fontId="4" fillId="39" borderId="42" xfId="0" applyFont="1" applyFill="1" applyBorder="1" applyAlignment="1">
      <alignment horizontal="left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wrapText="1"/>
    </xf>
    <xf numFmtId="0" fontId="4" fillId="0" borderId="58" xfId="0" applyFont="1" applyBorder="1" applyAlignment="1">
      <alignment horizontal="center" wrapText="1"/>
    </xf>
    <xf numFmtId="0" fontId="2" fillId="0" borderId="59" xfId="0" applyFont="1" applyBorder="1"/>
    <xf numFmtId="0" fontId="2" fillId="0" borderId="60" xfId="0" applyFont="1" applyBorder="1"/>
    <xf numFmtId="0" fontId="22" fillId="0" borderId="61" xfId="0" applyFont="1" applyBorder="1" applyAlignment="1">
      <alignment horizontal="right" vertical="center" wrapText="1"/>
    </xf>
    <xf numFmtId="0" fontId="2" fillId="0" borderId="62" xfId="0" applyFont="1" applyBorder="1"/>
    <xf numFmtId="0" fontId="3" fillId="11" borderId="19" xfId="0" applyFont="1" applyFill="1" applyBorder="1" applyAlignment="1">
      <alignment horizontal="center" wrapText="1"/>
    </xf>
    <xf numFmtId="0" fontId="11" fillId="3" borderId="47" xfId="0" applyFont="1" applyFill="1" applyBorder="1" applyAlignment="1">
      <alignment horizontal="center" wrapText="1"/>
    </xf>
    <xf numFmtId="0" fontId="2" fillId="0" borderId="51" xfId="0" applyFont="1" applyBorder="1"/>
    <xf numFmtId="0" fontId="4" fillId="0" borderId="19" xfId="0" applyFont="1" applyBorder="1" applyAlignment="1">
      <alignment horizontal="center" wrapText="1"/>
    </xf>
    <xf numFmtId="0" fontId="25" fillId="0" borderId="71" xfId="0" applyFont="1" applyBorder="1" applyAlignment="1">
      <alignment horizontal="center" vertical="center" wrapText="1"/>
    </xf>
    <xf numFmtId="0" fontId="2" fillId="0" borderId="45" xfId="0" applyFont="1" applyBorder="1"/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11" fillId="3" borderId="53" xfId="0" applyFont="1" applyFill="1" applyBorder="1" applyAlignment="1">
      <alignment horizontal="center" wrapText="1"/>
    </xf>
    <xf numFmtId="0" fontId="2" fillId="0" borderId="54" xfId="0" applyFont="1" applyBorder="1"/>
    <xf numFmtId="0" fontId="2" fillId="0" borderId="55" xfId="0" applyFont="1" applyBorder="1"/>
    <xf numFmtId="165" fontId="4" fillId="0" borderId="19" xfId="0" applyNumberFormat="1" applyFont="1" applyBorder="1" applyAlignment="1">
      <alignment horizontal="center" wrapText="1"/>
    </xf>
    <xf numFmtId="0" fontId="2" fillId="0" borderId="52" xfId="0" applyFont="1" applyBorder="1"/>
    <xf numFmtId="0" fontId="4" fillId="12" borderId="19" xfId="0" applyFont="1" applyFill="1" applyBorder="1" applyAlignment="1">
      <alignment horizontal="center" wrapText="1"/>
    </xf>
    <xf numFmtId="0" fontId="4" fillId="13" borderId="19" xfId="0" applyFont="1" applyFill="1" applyBorder="1" applyAlignment="1">
      <alignment horizontal="center" wrapText="1"/>
    </xf>
    <xf numFmtId="0" fontId="4" fillId="8" borderId="19" xfId="0" applyFont="1" applyFill="1" applyBorder="1" applyAlignment="1">
      <alignment horizontal="center" wrapText="1"/>
    </xf>
    <xf numFmtId="0" fontId="3" fillId="0" borderId="43" xfId="0" applyFont="1" applyBorder="1" applyAlignment="1">
      <alignment wrapText="1"/>
    </xf>
    <xf numFmtId="0" fontId="2" fillId="0" borderId="44" xfId="0" applyFont="1" applyBorder="1"/>
    <xf numFmtId="0" fontId="39" fillId="0" borderId="48" xfId="0" applyFont="1" applyBorder="1" applyAlignment="1">
      <alignment wrapText="1"/>
    </xf>
    <xf numFmtId="0" fontId="2" fillId="0" borderId="49" xfId="0" applyFont="1" applyBorder="1"/>
    <xf numFmtId="0" fontId="2" fillId="0" borderId="50" xfId="0" applyFont="1" applyBorder="1"/>
    <xf numFmtId="0" fontId="21" fillId="3" borderId="53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wrapText="1"/>
    </xf>
    <xf numFmtId="0" fontId="11" fillId="3" borderId="47" xfId="0" applyFont="1" applyFill="1" applyBorder="1" applyAlignment="1">
      <alignment horizontal="center" vertical="center" wrapText="1"/>
    </xf>
    <xf numFmtId="0" fontId="21" fillId="3" borderId="65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20" fillId="3" borderId="67" xfId="0" applyFont="1" applyFill="1" applyBorder="1" applyAlignment="1">
      <alignment horizontal="center" vertical="center" wrapText="1"/>
    </xf>
    <xf numFmtId="0" fontId="2" fillId="0" borderId="68" xfId="0" applyFont="1" applyBorder="1"/>
    <xf numFmtId="165" fontId="3" fillId="0" borderId="19" xfId="0" applyNumberFormat="1" applyFont="1" applyBorder="1" applyAlignment="1">
      <alignment horizontal="center" vertical="center" wrapText="1"/>
    </xf>
    <xf numFmtId="0" fontId="20" fillId="3" borderId="65" xfId="0" applyFont="1" applyFill="1" applyBorder="1" applyAlignment="1">
      <alignment horizontal="center" vertical="center" wrapText="1"/>
    </xf>
    <xf numFmtId="0" fontId="21" fillId="3" borderId="67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3" borderId="24" xfId="0" applyFont="1" applyFill="1" applyBorder="1" applyAlignment="1">
      <alignment horizontal="center" wrapText="1"/>
    </xf>
    <xf numFmtId="0" fontId="15" fillId="17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wrapText="1"/>
    </xf>
    <xf numFmtId="0" fontId="15" fillId="8" borderId="24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13" borderId="24" xfId="0" applyFont="1" applyFill="1" applyBorder="1" applyAlignment="1">
      <alignment horizontal="center" vertical="center" wrapText="1"/>
    </xf>
    <xf numFmtId="0" fontId="15" fillId="25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vertical="center" wrapText="1"/>
    </xf>
    <xf numFmtId="0" fontId="33" fillId="26" borderId="24" xfId="0" applyFont="1" applyFill="1" applyBorder="1" applyAlignment="1">
      <alignment horizontal="center" vertical="center" wrapText="1"/>
    </xf>
    <xf numFmtId="0" fontId="33" fillId="14" borderId="24" xfId="0" applyFont="1" applyFill="1" applyBorder="1" applyAlignment="1">
      <alignment horizontal="center" vertical="center" wrapText="1"/>
    </xf>
    <xf numFmtId="0" fontId="15" fillId="30" borderId="24" xfId="0" applyFont="1" applyFill="1" applyBorder="1" applyAlignment="1">
      <alignment horizontal="center" vertical="center" wrapText="1"/>
    </xf>
    <xf numFmtId="0" fontId="11" fillId="32" borderId="24" xfId="0" applyFont="1" applyFill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11" fillId="34" borderId="24" xfId="0" applyFont="1" applyFill="1" applyBorder="1" applyAlignment="1">
      <alignment horizontal="center" vertical="center" wrapText="1"/>
    </xf>
    <xf numFmtId="0" fontId="11" fillId="26" borderId="24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wrapText="1"/>
    </xf>
  </cellXfs>
  <cellStyles count="1">
    <cellStyle name="Normal" xfId="0" builtinId="0"/>
  </cellStyles>
  <dxfs count="23"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171450</xdr:colOff>
      <xdr:row>0</xdr:row>
      <xdr:rowOff>123825</xdr:rowOff>
    </xdr:from>
    <xdr:ext cx="8401050" cy="1533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showGridLines="0" tabSelected="1" workbookViewId="0">
      <selection activeCell="AD70" sqref="AD70:AF70"/>
    </sheetView>
  </sheetViews>
  <sheetFormatPr baseColWidth="10" defaultColWidth="12.5703125" defaultRowHeight="15" customHeight="1" x14ac:dyDescent="0.2"/>
  <cols>
    <col min="1" max="1" width="8" customWidth="1"/>
    <col min="2" max="2" width="1.42578125" customWidth="1"/>
    <col min="3" max="3" width="8.42578125" customWidth="1"/>
    <col min="4" max="4" width="2.42578125" customWidth="1"/>
    <col min="5" max="5" width="9.5703125" customWidth="1"/>
    <col min="6" max="6" width="2.42578125" customWidth="1"/>
    <col min="7" max="7" width="11.85546875" customWidth="1"/>
    <col min="8" max="8" width="2.42578125" customWidth="1"/>
    <col min="9" max="9" width="10.42578125" customWidth="1"/>
    <col min="10" max="10" width="2.42578125" customWidth="1"/>
    <col min="11" max="11" width="11" customWidth="1"/>
    <col min="12" max="12" width="1.85546875" customWidth="1"/>
    <col min="13" max="13" width="7.85546875" customWidth="1"/>
    <col min="14" max="14" width="2.42578125" customWidth="1"/>
    <col min="15" max="15" width="10" customWidth="1"/>
    <col min="16" max="16" width="2.42578125" customWidth="1"/>
    <col min="17" max="17" width="8.42578125" customWidth="1"/>
    <col min="18" max="18" width="2.42578125" customWidth="1"/>
    <col min="19" max="19" width="8.5703125" customWidth="1"/>
    <col min="20" max="20" width="2.42578125" customWidth="1"/>
    <col min="21" max="21" width="8.42578125" customWidth="1"/>
    <col min="22" max="22" width="2.42578125" customWidth="1"/>
    <col min="23" max="23" width="8.5703125" customWidth="1"/>
    <col min="24" max="24" width="2.42578125" customWidth="1"/>
    <col min="25" max="25" width="13.140625" customWidth="1"/>
    <col min="26" max="26" width="2.42578125" customWidth="1"/>
    <col min="27" max="27" width="6.85546875" customWidth="1"/>
    <col min="28" max="28" width="11" customWidth="1"/>
    <col min="29" max="29" width="7.5703125" customWidth="1"/>
    <col min="30" max="30" width="10.42578125" customWidth="1"/>
    <col min="31" max="31" width="2.5703125" customWidth="1"/>
    <col min="32" max="32" width="7.42578125" customWidth="1"/>
    <col min="33" max="33" width="2.5703125" customWidth="1"/>
    <col min="34" max="34" width="13.85546875" customWidth="1"/>
    <col min="35" max="35" width="17.42578125" hidden="1" customWidth="1"/>
    <col min="36" max="36" width="2.5703125" hidden="1" customWidth="1"/>
    <col min="37" max="37" width="17.42578125" hidden="1" customWidth="1"/>
    <col min="38" max="39" width="17.42578125" customWidth="1"/>
  </cols>
  <sheetData>
    <row r="1" spans="1:39" ht="19.5" customHeight="1" x14ac:dyDescent="0.2">
      <c r="A1" s="334"/>
      <c r="B1" s="320"/>
      <c r="C1" s="320"/>
      <c r="D1" s="320"/>
      <c r="E1" s="320"/>
      <c r="F1" s="320"/>
      <c r="G1" s="320"/>
      <c r="H1" s="320"/>
      <c r="I1" s="320"/>
      <c r="K1" s="335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AB1" s="2"/>
      <c r="AD1" s="2"/>
      <c r="AE1" s="3" t="s">
        <v>0</v>
      </c>
      <c r="AF1" s="2"/>
      <c r="AH1" s="2"/>
    </row>
    <row r="2" spans="1:39" ht="19.5" customHeight="1" x14ac:dyDescent="0.2">
      <c r="A2" s="336" t="s">
        <v>1</v>
      </c>
      <c r="B2" s="317"/>
      <c r="C2" s="317"/>
      <c r="D2" s="317"/>
      <c r="E2" s="317"/>
      <c r="F2" s="317"/>
      <c r="G2" s="317"/>
      <c r="H2" s="317"/>
      <c r="I2" s="317"/>
      <c r="J2" s="4"/>
      <c r="K2" s="337" t="s">
        <v>2</v>
      </c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5"/>
      <c r="Y2" s="5"/>
      <c r="Z2" s="5"/>
      <c r="AB2" s="2"/>
      <c r="AD2" s="2"/>
      <c r="AF2" s="2"/>
      <c r="AH2" s="2"/>
    </row>
    <row r="3" spans="1:39" ht="19.5" customHeight="1" x14ac:dyDescent="0.2">
      <c r="A3" s="338"/>
      <c r="B3" s="320"/>
      <c r="C3" s="320"/>
      <c r="D3" s="3"/>
      <c r="E3" s="338"/>
      <c r="F3" s="320"/>
      <c r="G3" s="320"/>
      <c r="H3" s="3"/>
      <c r="I3" s="6"/>
      <c r="K3" s="6"/>
      <c r="L3" s="3"/>
      <c r="M3" s="6"/>
      <c r="O3" s="339"/>
      <c r="P3" s="320"/>
      <c r="Q3" s="320"/>
      <c r="S3" s="299"/>
      <c r="T3" s="271" t="s">
        <v>213</v>
      </c>
      <c r="U3" s="299"/>
      <c r="V3" s="3"/>
      <c r="W3" s="340"/>
      <c r="X3" s="320"/>
      <c r="Y3" s="320"/>
      <c r="AB3" s="2"/>
      <c r="AD3" s="2"/>
      <c r="AF3" s="2"/>
      <c r="AH3" s="2"/>
    </row>
    <row r="4" spans="1:39" ht="19.5" customHeight="1" x14ac:dyDescent="0.2">
      <c r="A4" s="342" t="s">
        <v>5</v>
      </c>
      <c r="B4" s="317"/>
      <c r="C4" s="317"/>
      <c r="D4" s="2"/>
      <c r="E4" s="342" t="s">
        <v>6</v>
      </c>
      <c r="F4" s="317"/>
      <c r="G4" s="317"/>
      <c r="H4" s="2"/>
      <c r="I4" s="8" t="s">
        <v>7</v>
      </c>
      <c r="J4" s="2"/>
      <c r="K4" s="8" t="s">
        <v>8</v>
      </c>
      <c r="L4" s="2"/>
      <c r="M4" s="9" t="s">
        <v>9</v>
      </c>
      <c r="N4" s="2"/>
      <c r="O4" s="346" t="s">
        <v>10</v>
      </c>
      <c r="P4" s="317"/>
      <c r="Q4" s="317"/>
      <c r="R4" s="2"/>
      <c r="S4" s="342" t="s">
        <v>11</v>
      </c>
      <c r="T4" s="317"/>
      <c r="U4" s="317"/>
      <c r="V4" s="2"/>
      <c r="W4" s="2" t="s">
        <v>12</v>
      </c>
      <c r="X4" s="10"/>
      <c r="Y4" s="10"/>
      <c r="Z4" s="5"/>
      <c r="AB4" s="2"/>
      <c r="AD4" s="2"/>
      <c r="AF4" s="2"/>
      <c r="AH4" s="2"/>
    </row>
    <row r="5" spans="1:39" ht="19.5" customHeight="1" x14ac:dyDescent="0.2">
      <c r="A5" s="341"/>
      <c r="B5" s="320"/>
      <c r="C5" s="320"/>
      <c r="D5" s="4"/>
      <c r="E5" s="11"/>
      <c r="F5" s="4"/>
      <c r="G5" s="11"/>
      <c r="H5" s="4"/>
      <c r="I5" s="11"/>
      <c r="K5" s="341"/>
      <c r="L5" s="320"/>
      <c r="M5" s="320"/>
      <c r="N5" s="4"/>
      <c r="O5" s="341"/>
      <c r="P5" s="320"/>
      <c r="Q5" s="320"/>
      <c r="R5" s="4"/>
      <c r="S5" s="341"/>
      <c r="T5" s="320"/>
      <c r="U5" s="320"/>
      <c r="V5" s="3"/>
      <c r="W5" s="343"/>
      <c r="X5" s="320"/>
      <c r="Y5" s="320"/>
      <c r="AB5" s="2"/>
      <c r="AD5" s="2"/>
      <c r="AF5" s="2"/>
      <c r="AH5" s="2"/>
    </row>
    <row r="6" spans="1:39" ht="19.5" customHeight="1" x14ac:dyDescent="0.2">
      <c r="A6" s="342" t="s">
        <v>14</v>
      </c>
      <c r="B6" s="317"/>
      <c r="C6" s="317"/>
      <c r="D6" s="2"/>
      <c r="E6" s="8" t="s">
        <v>15</v>
      </c>
      <c r="F6" s="2"/>
      <c r="G6" s="8" t="s">
        <v>16</v>
      </c>
      <c r="H6" s="2"/>
      <c r="I6" s="8" t="s">
        <v>17</v>
      </c>
      <c r="J6" s="10"/>
      <c r="K6" s="342" t="s">
        <v>18</v>
      </c>
      <c r="L6" s="317"/>
      <c r="M6" s="317"/>
      <c r="N6" s="2"/>
      <c r="O6" s="342" t="s">
        <v>19</v>
      </c>
      <c r="P6" s="317"/>
      <c r="Q6" s="317"/>
      <c r="R6" s="2"/>
      <c r="S6" s="342" t="s">
        <v>20</v>
      </c>
      <c r="T6" s="317"/>
      <c r="U6" s="8"/>
      <c r="V6" s="10"/>
      <c r="W6" s="342" t="s">
        <v>21</v>
      </c>
      <c r="X6" s="317"/>
      <c r="Y6" s="317"/>
      <c r="Z6" s="317"/>
      <c r="AB6" s="2"/>
      <c r="AD6" s="2"/>
      <c r="AF6" s="2"/>
      <c r="AH6" s="2"/>
    </row>
    <row r="7" spans="1:39" ht="19.5" customHeight="1" x14ac:dyDescent="0.2">
      <c r="A7" s="344"/>
      <c r="B7" s="331"/>
      <c r="C7" s="331"/>
      <c r="D7" s="13"/>
      <c r="E7" s="12"/>
      <c r="F7" s="13"/>
      <c r="G7" s="13"/>
      <c r="H7" s="13"/>
      <c r="I7" s="13"/>
      <c r="J7" s="13"/>
      <c r="K7" s="344"/>
      <c r="L7" s="331"/>
      <c r="M7" s="331"/>
      <c r="N7" s="13"/>
      <c r="O7" s="12"/>
      <c r="P7" s="13"/>
      <c r="Q7" s="13"/>
      <c r="R7" s="13"/>
      <c r="S7" s="344"/>
      <c r="T7" s="331"/>
      <c r="U7" s="331"/>
      <c r="V7" s="13"/>
      <c r="W7" s="12"/>
      <c r="X7" s="13"/>
      <c r="Y7" s="13"/>
      <c r="Z7" s="3" t="s">
        <v>0</v>
      </c>
      <c r="AB7" s="2"/>
      <c r="AD7" s="2"/>
      <c r="AF7" s="2"/>
      <c r="AH7" s="2"/>
    </row>
    <row r="8" spans="1:39" ht="19.5" customHeight="1" x14ac:dyDescent="0.2">
      <c r="A8" s="345"/>
      <c r="B8" s="331"/>
      <c r="C8" s="331"/>
      <c r="D8" s="13"/>
      <c r="E8" s="3"/>
      <c r="F8" s="13"/>
      <c r="G8" s="13"/>
      <c r="H8" s="13"/>
      <c r="I8" s="13"/>
      <c r="J8" s="13"/>
      <c r="K8" s="345"/>
      <c r="L8" s="331"/>
      <c r="M8" s="331"/>
      <c r="N8" s="13"/>
      <c r="O8" s="3"/>
      <c r="P8" s="14"/>
      <c r="Q8" s="14"/>
      <c r="R8" s="14"/>
      <c r="S8" s="345"/>
      <c r="T8" s="331"/>
      <c r="U8" s="331"/>
      <c r="V8" s="13"/>
      <c r="W8" s="15"/>
      <c r="X8" s="14"/>
      <c r="Y8" s="14"/>
      <c r="Z8" s="14"/>
      <c r="AB8" s="365" t="s">
        <v>22</v>
      </c>
      <c r="AC8" s="366"/>
      <c r="AD8" s="16"/>
      <c r="AE8" s="17" t="s">
        <v>23</v>
      </c>
      <c r="AF8" s="18"/>
      <c r="AG8" s="19"/>
      <c r="AH8" s="20" t="s">
        <v>24</v>
      </c>
      <c r="AL8" s="301"/>
      <c r="AM8" s="300" t="s">
        <v>691</v>
      </c>
    </row>
    <row r="9" spans="1:39" ht="19.5" customHeight="1" x14ac:dyDescent="0.2">
      <c r="A9" s="344"/>
      <c r="B9" s="331"/>
      <c r="C9" s="331"/>
      <c r="D9" s="13"/>
      <c r="E9" s="12"/>
      <c r="F9" s="13"/>
      <c r="G9" s="13"/>
      <c r="H9" s="13"/>
      <c r="I9" s="13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B9" s="367" t="s">
        <v>25</v>
      </c>
      <c r="AC9" s="368"/>
      <c r="AD9" s="16"/>
      <c r="AE9" s="17" t="s">
        <v>23</v>
      </c>
      <c r="AF9" s="18"/>
      <c r="AG9" s="19"/>
      <c r="AH9" s="20" t="s">
        <v>24</v>
      </c>
      <c r="AL9" s="301"/>
      <c r="AM9" s="300" t="s">
        <v>691</v>
      </c>
    </row>
    <row r="10" spans="1:39" ht="19.5" customHeight="1" x14ac:dyDescent="0.2">
      <c r="A10" s="345"/>
      <c r="B10" s="331"/>
      <c r="C10" s="331"/>
      <c r="D10" s="13"/>
      <c r="E10" s="3"/>
      <c r="F10" s="13"/>
      <c r="G10" s="13"/>
      <c r="H10" s="13"/>
      <c r="I10" s="13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B10" s="369" t="s">
        <v>26</v>
      </c>
      <c r="AC10" s="370"/>
      <c r="AD10" s="16"/>
      <c r="AE10" s="17" t="s">
        <v>23</v>
      </c>
      <c r="AF10" s="18"/>
      <c r="AG10" s="19"/>
      <c r="AH10" s="20" t="s">
        <v>24</v>
      </c>
      <c r="AL10" s="301"/>
      <c r="AM10" s="300" t="s">
        <v>691</v>
      </c>
    </row>
    <row r="11" spans="1:39" ht="22.5" customHeight="1" x14ac:dyDescent="0.2">
      <c r="A11" s="21" t="s">
        <v>27</v>
      </c>
      <c r="B11" s="2" t="s">
        <v>0</v>
      </c>
      <c r="C11" s="22" t="s">
        <v>28</v>
      </c>
      <c r="D11" s="21"/>
      <c r="E11" s="22" t="s">
        <v>29</v>
      </c>
      <c r="F11" s="21"/>
      <c r="G11" s="22" t="s">
        <v>30</v>
      </c>
      <c r="H11" s="21"/>
      <c r="I11" s="22" t="s">
        <v>31</v>
      </c>
      <c r="M11" s="23" t="s">
        <v>32</v>
      </c>
      <c r="N11" s="2"/>
      <c r="O11" s="347" t="s">
        <v>33</v>
      </c>
      <c r="P11" s="320"/>
      <c r="Q11" s="320"/>
      <c r="R11" s="320"/>
      <c r="S11" s="6" t="s">
        <v>34</v>
      </c>
      <c r="T11" s="347" t="s">
        <v>35</v>
      </c>
      <c r="U11" s="320"/>
      <c r="V11" s="320"/>
      <c r="W11" s="320"/>
      <c r="Y11" s="376" t="s">
        <v>36</v>
      </c>
      <c r="Z11" s="320"/>
      <c r="AB11" s="371" t="s">
        <v>37</v>
      </c>
      <c r="AC11" s="372"/>
      <c r="AD11" s="16"/>
      <c r="AE11" s="17" t="s">
        <v>23</v>
      </c>
      <c r="AF11" s="18"/>
      <c r="AG11" s="19"/>
      <c r="AH11" s="25" t="s">
        <v>24</v>
      </c>
      <c r="AL11" s="301"/>
      <c r="AM11" s="300" t="s">
        <v>691</v>
      </c>
    </row>
    <row r="12" spans="1:39" ht="19.5" customHeight="1" x14ac:dyDescent="0.2">
      <c r="A12" s="26" t="s">
        <v>38</v>
      </c>
      <c r="B12" s="27"/>
      <c r="C12" s="28"/>
      <c r="D12" s="29" t="s">
        <v>39</v>
      </c>
      <c r="E12" s="30"/>
      <c r="F12" s="29"/>
      <c r="G12" s="28"/>
      <c r="H12" s="29" t="s">
        <v>39</v>
      </c>
      <c r="I12" s="30"/>
      <c r="J12" s="31"/>
      <c r="K12" s="26" t="s">
        <v>40</v>
      </c>
      <c r="L12" s="27" t="s">
        <v>0</v>
      </c>
      <c r="M12" s="28"/>
      <c r="N12" s="32"/>
      <c r="O12" s="349"/>
      <c r="P12" s="309"/>
      <c r="Q12" s="309"/>
      <c r="R12" s="309"/>
      <c r="S12" s="33" t="s">
        <v>34</v>
      </c>
      <c r="U12" s="377"/>
      <c r="V12" s="309"/>
      <c r="W12" s="310"/>
      <c r="X12" s="32"/>
      <c r="Y12" s="378"/>
      <c r="Z12" s="310"/>
      <c r="AA12" s="31"/>
      <c r="AB12" s="373" t="s">
        <v>41</v>
      </c>
      <c r="AC12" s="374"/>
      <c r="AD12" s="16"/>
      <c r="AE12" s="17" t="s">
        <v>23</v>
      </c>
      <c r="AF12" s="18"/>
      <c r="AG12" s="19"/>
      <c r="AH12" s="25" t="s">
        <v>24</v>
      </c>
      <c r="AI12" s="31"/>
      <c r="AL12" s="301"/>
      <c r="AM12" s="300" t="s">
        <v>691</v>
      </c>
    </row>
    <row r="13" spans="1:39" ht="19.5" customHeight="1" x14ac:dyDescent="0.2">
      <c r="C13" s="33"/>
      <c r="D13" s="34"/>
      <c r="E13" s="33"/>
      <c r="F13" s="12"/>
      <c r="G13" s="33"/>
      <c r="H13" s="34"/>
      <c r="I13" s="33"/>
      <c r="M13" s="35"/>
      <c r="O13" s="35"/>
      <c r="P13" s="36"/>
      <c r="Q13" s="35"/>
      <c r="R13" s="36"/>
      <c r="S13" s="35"/>
      <c r="T13" s="36"/>
      <c r="U13" s="35"/>
      <c r="V13" s="36"/>
      <c r="W13" s="35"/>
      <c r="Y13" s="35"/>
      <c r="Z13" s="36"/>
      <c r="AA13" s="1"/>
      <c r="AB13" s="7"/>
      <c r="AC13" s="3"/>
      <c r="AD13" s="7"/>
      <c r="AE13" s="3"/>
      <c r="AF13" s="2"/>
      <c r="AG13" s="36"/>
      <c r="AH13" s="8"/>
    </row>
    <row r="14" spans="1:39" ht="19.5" customHeight="1" x14ac:dyDescent="0.2">
      <c r="A14" s="26" t="s">
        <v>42</v>
      </c>
      <c r="B14" s="27"/>
      <c r="C14" s="28"/>
      <c r="D14" s="29" t="s">
        <v>39</v>
      </c>
      <c r="E14" s="30"/>
      <c r="F14" s="29"/>
      <c r="G14" s="28"/>
      <c r="H14" s="29" t="s">
        <v>39</v>
      </c>
      <c r="I14" s="30"/>
      <c r="J14" s="31"/>
      <c r="K14" s="26" t="s">
        <v>43</v>
      </c>
      <c r="L14" s="27"/>
      <c r="M14" s="37"/>
      <c r="N14" s="29" t="s">
        <v>39</v>
      </c>
      <c r="O14" s="38"/>
      <c r="P14" s="29" t="s">
        <v>44</v>
      </c>
      <c r="Q14" s="38"/>
      <c r="R14" s="29" t="s">
        <v>44</v>
      </c>
      <c r="S14" s="38"/>
      <c r="T14" s="29" t="s">
        <v>44</v>
      </c>
      <c r="U14" s="30"/>
      <c r="V14" s="29" t="s">
        <v>44</v>
      </c>
      <c r="W14" s="39"/>
      <c r="X14" s="29" t="s">
        <v>44</v>
      </c>
      <c r="Y14" s="28"/>
      <c r="Z14" s="29" t="s">
        <v>44</v>
      </c>
      <c r="AA14" s="375"/>
      <c r="AB14" s="310"/>
      <c r="AC14" s="29" t="s">
        <v>44</v>
      </c>
      <c r="AD14" s="28"/>
      <c r="AE14" s="31"/>
      <c r="AF14" s="347" t="s">
        <v>45</v>
      </c>
      <c r="AG14" s="320"/>
      <c r="AH14" s="320"/>
    </row>
    <row r="15" spans="1:39" ht="19.5" customHeight="1" x14ac:dyDescent="0.2">
      <c r="C15" s="33"/>
      <c r="D15" s="34"/>
      <c r="E15" s="33"/>
      <c r="F15" s="12"/>
      <c r="G15" s="33"/>
      <c r="H15" s="34"/>
      <c r="I15" s="33"/>
      <c r="M15" s="35"/>
      <c r="O15" s="40" t="s">
        <v>46</v>
      </c>
      <c r="Q15" s="41" t="s">
        <v>47</v>
      </c>
      <c r="R15" s="42"/>
      <c r="S15" s="41" t="s">
        <v>48</v>
      </c>
      <c r="T15" s="42"/>
      <c r="U15" s="41" t="s">
        <v>49</v>
      </c>
      <c r="V15" s="42"/>
      <c r="W15" s="41" t="s">
        <v>50</v>
      </c>
      <c r="Y15" s="41" t="s">
        <v>51</v>
      </c>
      <c r="Z15" s="42"/>
      <c r="AA15" s="352" t="s">
        <v>52</v>
      </c>
      <c r="AB15" s="317"/>
      <c r="AC15" s="353" t="s">
        <v>53</v>
      </c>
      <c r="AD15" s="331"/>
      <c r="AE15" s="354"/>
      <c r="AF15" s="355"/>
      <c r="AG15" s="309"/>
      <c r="AH15" s="310"/>
      <c r="AI15" s="31"/>
    </row>
    <row r="16" spans="1:39" ht="19.5" customHeight="1" x14ac:dyDescent="0.2">
      <c r="A16" s="26" t="s">
        <v>54</v>
      </c>
      <c r="B16" s="27"/>
      <c r="C16" s="28"/>
      <c r="D16" s="29" t="s">
        <v>39</v>
      </c>
      <c r="E16" s="30"/>
      <c r="F16" s="43"/>
      <c r="G16" s="28"/>
      <c r="H16" s="29" t="s">
        <v>39</v>
      </c>
      <c r="I16" s="30"/>
      <c r="J16" s="31"/>
      <c r="K16" s="26" t="s">
        <v>55</v>
      </c>
      <c r="L16" s="27"/>
      <c r="M16" s="38"/>
      <c r="N16" s="31"/>
      <c r="O16" s="26" t="s">
        <v>56</v>
      </c>
      <c r="Q16" s="38"/>
      <c r="AB16" s="2"/>
      <c r="AD16" s="2"/>
      <c r="AF16" s="8"/>
      <c r="AG16" s="36"/>
      <c r="AH16" s="8"/>
    </row>
    <row r="17" spans="1:39" ht="19.5" customHeight="1" x14ac:dyDescent="0.2">
      <c r="C17" s="33"/>
      <c r="D17" s="34"/>
      <c r="E17" s="33"/>
      <c r="F17" s="12"/>
      <c r="G17" s="33"/>
      <c r="H17" s="34"/>
      <c r="I17" s="33"/>
      <c r="M17" s="35"/>
      <c r="S17" s="1"/>
      <c r="U17" s="379" t="s">
        <v>57</v>
      </c>
      <c r="V17" s="307"/>
      <c r="W17" s="307"/>
      <c r="X17" s="44"/>
      <c r="Y17" s="44"/>
      <c r="Z17" s="356" t="s">
        <v>58</v>
      </c>
      <c r="AA17" s="307"/>
      <c r="AB17" s="307"/>
      <c r="AC17" s="307"/>
      <c r="AD17" s="307"/>
      <c r="AE17" s="357"/>
      <c r="AF17" s="358"/>
      <c r="AG17" s="359"/>
      <c r="AH17" s="358"/>
      <c r="AI17" s="282"/>
      <c r="AJ17" s="282"/>
      <c r="AK17" s="282"/>
      <c r="AL17" s="282"/>
    </row>
    <row r="18" spans="1:39" ht="23.25" customHeight="1" x14ac:dyDescent="0.3">
      <c r="A18" s="26" t="s">
        <v>59</v>
      </c>
      <c r="B18" s="27"/>
      <c r="C18" s="28"/>
      <c r="D18" s="29" t="s">
        <v>39</v>
      </c>
      <c r="E18" s="30"/>
      <c r="F18" s="29"/>
      <c r="G18" s="28"/>
      <c r="H18" s="29" t="s">
        <v>39</v>
      </c>
      <c r="I18" s="30"/>
      <c r="J18" s="31"/>
      <c r="K18" s="26" t="s">
        <v>60</v>
      </c>
      <c r="L18" s="27"/>
      <c r="M18" s="45"/>
      <c r="N18" s="31"/>
      <c r="O18" s="348" t="s">
        <v>61</v>
      </c>
      <c r="P18" s="307"/>
      <c r="Q18" s="307"/>
      <c r="R18" s="27"/>
      <c r="S18" s="45"/>
      <c r="T18" s="31"/>
      <c r="U18" s="379" t="s">
        <v>62</v>
      </c>
      <c r="V18" s="307"/>
      <c r="W18" s="307"/>
      <c r="X18" s="382">
        <v>0</v>
      </c>
      <c r="Y18" s="307"/>
      <c r="Z18" s="306"/>
      <c r="AA18" s="307"/>
      <c r="AB18" s="289"/>
      <c r="AC18" s="360"/>
      <c r="AD18" s="307"/>
      <c r="AE18" s="290"/>
      <c r="AF18" s="402"/>
      <c r="AG18" s="402"/>
      <c r="AH18" s="402"/>
      <c r="AI18" s="282"/>
      <c r="AJ18" s="282"/>
      <c r="AK18" s="282"/>
      <c r="AL18" s="282"/>
    </row>
    <row r="19" spans="1:39" ht="25.5" customHeight="1" x14ac:dyDescent="0.2">
      <c r="C19" s="33"/>
      <c r="D19" s="34"/>
      <c r="E19" s="33"/>
      <c r="F19" s="12"/>
      <c r="G19" s="33"/>
      <c r="H19" s="34"/>
      <c r="I19" s="33"/>
      <c r="M19" s="36" t="s">
        <v>0</v>
      </c>
      <c r="O19" s="1"/>
      <c r="Q19" s="1"/>
      <c r="S19" s="35"/>
      <c r="U19" s="46" t="s">
        <v>63</v>
      </c>
      <c r="V19" s="361" t="s">
        <v>64</v>
      </c>
      <c r="W19" s="331"/>
      <c r="X19" s="331"/>
      <c r="Y19" s="331"/>
      <c r="Z19" s="331"/>
      <c r="AA19" s="42" t="s">
        <v>65</v>
      </c>
      <c r="AB19" s="24" t="s">
        <v>32</v>
      </c>
      <c r="AC19" s="42"/>
      <c r="AD19" s="42" t="s">
        <v>66</v>
      </c>
      <c r="AE19" s="42"/>
      <c r="AF19" s="42" t="s">
        <v>67</v>
      </c>
      <c r="AG19" s="42"/>
      <c r="AH19" s="42" t="s">
        <v>68</v>
      </c>
    </row>
    <row r="20" spans="1:39" ht="19.5" customHeight="1" x14ac:dyDescent="0.2">
      <c r="A20" s="26" t="s">
        <v>69</v>
      </c>
      <c r="B20" s="27"/>
      <c r="C20" s="28"/>
      <c r="D20" s="29" t="s">
        <v>39</v>
      </c>
      <c r="E20" s="30"/>
      <c r="F20" s="29"/>
      <c r="G20" s="28"/>
      <c r="H20" s="29" t="s">
        <v>39</v>
      </c>
      <c r="I20" s="30"/>
      <c r="J20" s="31"/>
      <c r="K20" s="348" t="s">
        <v>70</v>
      </c>
      <c r="L20" s="307"/>
      <c r="M20" s="307"/>
      <c r="N20" s="27"/>
      <c r="O20" s="28"/>
      <c r="P20" s="29" t="s">
        <v>39</v>
      </c>
      <c r="Q20" s="30"/>
      <c r="R20" s="29" t="s">
        <v>44</v>
      </c>
      <c r="S20" s="28"/>
      <c r="T20" s="32"/>
      <c r="U20" s="293"/>
      <c r="V20" s="362" t="s">
        <v>71</v>
      </c>
      <c r="W20" s="331"/>
      <c r="X20" s="331"/>
      <c r="Y20" s="331"/>
      <c r="AA20" s="48" t="s">
        <v>42</v>
      </c>
      <c r="AB20" s="30"/>
      <c r="AC20" s="31" t="s">
        <v>39</v>
      </c>
      <c r="AD20" s="7"/>
      <c r="AE20" s="12" t="s">
        <v>44</v>
      </c>
      <c r="AF20" s="7"/>
      <c r="AG20" s="12" t="s">
        <v>44</v>
      </c>
      <c r="AH20" s="7"/>
      <c r="AI20" s="3"/>
      <c r="AJ20" s="12" t="s">
        <v>44</v>
      </c>
      <c r="AK20" s="7"/>
    </row>
    <row r="21" spans="1:39" ht="19.5" customHeight="1" x14ac:dyDescent="0.2">
      <c r="C21" s="33"/>
      <c r="D21" s="34"/>
      <c r="E21" s="33"/>
      <c r="F21" s="12"/>
      <c r="G21" s="33"/>
      <c r="H21" s="34"/>
      <c r="I21" s="33"/>
      <c r="O21" s="49" t="s">
        <v>32</v>
      </c>
      <c r="P21" s="42"/>
      <c r="Q21" s="41" t="s">
        <v>72</v>
      </c>
      <c r="R21" s="42"/>
      <c r="S21" s="41" t="s">
        <v>73</v>
      </c>
      <c r="T21" s="27"/>
      <c r="U21" s="293"/>
      <c r="V21" s="363" t="s">
        <v>74</v>
      </c>
      <c r="W21" s="331"/>
      <c r="X21" s="364" t="s">
        <v>75</v>
      </c>
      <c r="Y21" s="331"/>
      <c r="Z21" s="50" t="s">
        <v>76</v>
      </c>
      <c r="AA21" s="48" t="s">
        <v>59</v>
      </c>
      <c r="AB21" s="30"/>
      <c r="AC21" s="31" t="s">
        <v>39</v>
      </c>
      <c r="AD21" s="51"/>
      <c r="AE21" s="12" t="s">
        <v>44</v>
      </c>
      <c r="AF21" s="7"/>
      <c r="AG21" s="12" t="s">
        <v>44</v>
      </c>
      <c r="AH21" s="51"/>
      <c r="AI21" s="3"/>
      <c r="AJ21" s="12" t="s">
        <v>44</v>
      </c>
      <c r="AK21" s="51"/>
    </row>
    <row r="22" spans="1:39" ht="19.5" customHeight="1" x14ac:dyDescent="0.2">
      <c r="A22" s="26" t="s">
        <v>77</v>
      </c>
      <c r="B22" s="27"/>
      <c r="C22" s="28"/>
      <c r="D22" s="29" t="s">
        <v>39</v>
      </c>
      <c r="E22" s="30"/>
      <c r="F22" s="29"/>
      <c r="G22" s="28"/>
      <c r="H22" s="29" t="s">
        <v>39</v>
      </c>
      <c r="I22" s="30"/>
      <c r="J22" s="31"/>
      <c r="T22" s="27"/>
      <c r="U22" s="28"/>
      <c r="V22" s="363" t="s">
        <v>74</v>
      </c>
      <c r="W22" s="331"/>
      <c r="X22" s="364"/>
      <c r="Y22" s="331"/>
      <c r="Z22" s="50" t="s">
        <v>76</v>
      </c>
      <c r="AA22" s="48" t="s">
        <v>59</v>
      </c>
      <c r="AB22" s="30"/>
      <c r="AC22" s="31" t="s">
        <v>39</v>
      </c>
      <c r="AD22" s="51"/>
      <c r="AE22" s="12" t="s">
        <v>44</v>
      </c>
      <c r="AF22" s="7"/>
      <c r="AG22" s="12" t="s">
        <v>44</v>
      </c>
      <c r="AH22" s="51"/>
      <c r="AI22" s="3"/>
      <c r="AJ22" s="12" t="s">
        <v>44</v>
      </c>
      <c r="AK22" s="51"/>
    </row>
    <row r="23" spans="1:39" ht="19.5" customHeight="1" x14ac:dyDescent="0.2">
      <c r="A23" s="2" t="s">
        <v>78</v>
      </c>
      <c r="B23" s="2"/>
      <c r="C23" s="8">
        <v>0</v>
      </c>
      <c r="D23" s="3" t="s">
        <v>39</v>
      </c>
      <c r="E23" s="345" t="s">
        <v>693</v>
      </c>
      <c r="F23" s="331"/>
      <c r="G23" s="331"/>
      <c r="H23" s="331"/>
      <c r="I23" s="331"/>
      <c r="J23" s="331"/>
      <c r="K23" s="331"/>
      <c r="L23" s="331"/>
      <c r="M23" s="331"/>
      <c r="Q23" s="1"/>
      <c r="R23" s="1"/>
      <c r="S23" s="1"/>
      <c r="T23" s="27"/>
      <c r="U23" s="293"/>
      <c r="V23" s="363" t="s">
        <v>74</v>
      </c>
      <c r="W23" s="331"/>
      <c r="X23" s="364"/>
      <c r="Y23" s="331"/>
      <c r="Z23" s="50" t="s">
        <v>76</v>
      </c>
      <c r="AA23" s="48" t="s">
        <v>59</v>
      </c>
      <c r="AB23" s="30"/>
      <c r="AC23" s="31" t="s">
        <v>39</v>
      </c>
      <c r="AD23" s="51"/>
      <c r="AE23" s="12" t="s">
        <v>44</v>
      </c>
      <c r="AF23" s="7"/>
      <c r="AG23" s="12" t="s">
        <v>44</v>
      </c>
      <c r="AH23" s="51"/>
      <c r="AI23" s="3"/>
      <c r="AJ23" s="12" t="s">
        <v>44</v>
      </c>
      <c r="AK23" s="51"/>
    </row>
    <row r="24" spans="1:39" ht="19.5" customHeight="1" x14ac:dyDescent="0.2">
      <c r="A24" s="383" t="s">
        <v>79</v>
      </c>
      <c r="B24" s="331"/>
      <c r="C24" s="331"/>
      <c r="E24" s="52" t="s">
        <v>32</v>
      </c>
      <c r="F24" s="53"/>
      <c r="G24" s="24" t="s">
        <v>80</v>
      </c>
      <c r="H24" s="42"/>
      <c r="I24" s="24" t="s">
        <v>81</v>
      </c>
      <c r="J24" s="42"/>
      <c r="K24" s="24" t="s">
        <v>82</v>
      </c>
      <c r="L24" s="42"/>
      <c r="M24" s="24" t="s">
        <v>83</v>
      </c>
      <c r="N24" s="42"/>
      <c r="O24" s="24" t="s">
        <v>31</v>
      </c>
      <c r="P24" s="54"/>
      <c r="Q24" s="384" t="s">
        <v>84</v>
      </c>
      <c r="R24" s="317"/>
      <c r="S24" s="318"/>
      <c r="T24" s="32"/>
      <c r="U24" s="28"/>
      <c r="V24" s="363" t="s">
        <v>85</v>
      </c>
      <c r="W24" s="331"/>
      <c r="X24" s="331"/>
      <c r="Y24" s="331"/>
      <c r="Z24" s="331"/>
      <c r="AA24" s="48" t="s">
        <v>69</v>
      </c>
      <c r="AB24" s="30"/>
      <c r="AC24" s="31" t="s">
        <v>39</v>
      </c>
      <c r="AD24" s="51"/>
      <c r="AE24" s="12" t="s">
        <v>44</v>
      </c>
      <c r="AF24" s="7"/>
      <c r="AG24" s="12" t="s">
        <v>44</v>
      </c>
      <c r="AH24" s="51"/>
      <c r="AI24" s="3"/>
      <c r="AJ24" s="12" t="s">
        <v>44</v>
      </c>
      <c r="AK24" s="51"/>
    </row>
    <row r="25" spans="1:39" ht="19.5" customHeight="1" x14ac:dyDescent="0.2">
      <c r="A25" s="348" t="s">
        <v>86</v>
      </c>
      <c r="B25" s="307"/>
      <c r="C25" s="307"/>
      <c r="D25" s="27"/>
      <c r="E25" s="55"/>
      <c r="F25" s="29" t="s">
        <v>39</v>
      </c>
      <c r="G25" s="56"/>
      <c r="H25" s="29" t="s">
        <v>44</v>
      </c>
      <c r="I25" s="30"/>
      <c r="J25" s="29" t="s">
        <v>44</v>
      </c>
      <c r="K25" s="28"/>
      <c r="L25" s="29" t="s">
        <v>44</v>
      </c>
      <c r="M25" s="28"/>
      <c r="N25" s="29" t="s">
        <v>44</v>
      </c>
      <c r="O25" s="28"/>
      <c r="P25" s="57" t="s">
        <v>44</v>
      </c>
      <c r="Q25" s="380"/>
      <c r="R25" s="317"/>
      <c r="S25" s="318"/>
      <c r="T25" s="27"/>
      <c r="U25" s="28"/>
      <c r="V25" s="330" t="s">
        <v>87</v>
      </c>
      <c r="W25" s="331"/>
      <c r="X25" s="331"/>
      <c r="Y25" s="331"/>
      <c r="Z25" s="58"/>
      <c r="AA25" s="48" t="s">
        <v>69</v>
      </c>
      <c r="AB25" s="30"/>
      <c r="AC25" s="31" t="s">
        <v>39</v>
      </c>
      <c r="AD25" s="51"/>
      <c r="AE25" s="12" t="s">
        <v>44</v>
      </c>
      <c r="AF25" s="7"/>
      <c r="AG25" s="12" t="s">
        <v>44</v>
      </c>
      <c r="AH25" s="51"/>
      <c r="AI25" s="3"/>
      <c r="AJ25" s="12" t="s">
        <v>44</v>
      </c>
      <c r="AK25" s="51"/>
    </row>
    <row r="26" spans="1:39" ht="19.5" customHeight="1" x14ac:dyDescent="0.2">
      <c r="E26" s="33"/>
      <c r="F26" s="12"/>
      <c r="G26" s="33"/>
      <c r="H26" s="12"/>
      <c r="I26" s="59" t="s">
        <v>88</v>
      </c>
      <c r="J26" s="2"/>
      <c r="K26" s="51"/>
      <c r="L26" s="12"/>
      <c r="M26" s="33"/>
      <c r="N26" s="12"/>
      <c r="O26" s="33"/>
      <c r="P26" s="12"/>
      <c r="Q26" s="381"/>
      <c r="R26" s="331"/>
      <c r="S26" s="354"/>
      <c r="T26" s="27"/>
      <c r="U26" s="293"/>
      <c r="V26" s="330" t="s">
        <v>89</v>
      </c>
      <c r="W26" s="331"/>
      <c r="X26" s="331"/>
      <c r="Y26" s="331"/>
      <c r="Z26" s="58"/>
      <c r="AA26" s="48" t="s">
        <v>59</v>
      </c>
      <c r="AB26" s="30"/>
      <c r="AC26" s="31" t="s">
        <v>39</v>
      </c>
      <c r="AD26" s="51"/>
      <c r="AE26" s="12" t="s">
        <v>44</v>
      </c>
      <c r="AF26" s="7"/>
      <c r="AG26" s="12" t="s">
        <v>44</v>
      </c>
      <c r="AH26" s="51"/>
      <c r="AI26" s="3"/>
      <c r="AJ26" s="12" t="s">
        <v>44</v>
      </c>
      <c r="AK26" s="51"/>
      <c r="AL26" s="13"/>
      <c r="AM26" s="13"/>
    </row>
    <row r="27" spans="1:39" ht="19.5" customHeight="1" x14ac:dyDescent="0.2">
      <c r="A27" s="348" t="s">
        <v>90</v>
      </c>
      <c r="B27" s="307"/>
      <c r="C27" s="307"/>
      <c r="D27" s="27"/>
      <c r="E27" s="30"/>
      <c r="F27" s="29" t="s">
        <v>39</v>
      </c>
      <c r="G27" s="28"/>
      <c r="H27" s="29" t="s">
        <v>44</v>
      </c>
      <c r="I27" s="30"/>
      <c r="J27" s="29" t="s">
        <v>44</v>
      </c>
      <c r="K27" s="28"/>
      <c r="L27" s="29" t="s">
        <v>44</v>
      </c>
      <c r="M27" s="28"/>
      <c r="N27" s="29" t="s">
        <v>44</v>
      </c>
      <c r="O27" s="28"/>
      <c r="P27" s="57" t="s">
        <v>44</v>
      </c>
      <c r="Q27" s="381"/>
      <c r="R27" s="331"/>
      <c r="S27" s="354"/>
      <c r="T27" s="27"/>
      <c r="U27" s="28"/>
      <c r="V27" s="330" t="s">
        <v>91</v>
      </c>
      <c r="W27" s="331"/>
      <c r="X27" s="331"/>
      <c r="Y27" s="331"/>
      <c r="Z27" s="58"/>
      <c r="AA27" s="48" t="s">
        <v>54</v>
      </c>
      <c r="AB27" s="30"/>
      <c r="AC27" s="31" t="s">
        <v>39</v>
      </c>
      <c r="AD27" s="51"/>
      <c r="AE27" s="12" t="s">
        <v>44</v>
      </c>
      <c r="AF27" s="7"/>
      <c r="AG27" s="12" t="s">
        <v>44</v>
      </c>
      <c r="AH27" s="51"/>
      <c r="AI27" s="3"/>
      <c r="AJ27" s="12" t="s">
        <v>44</v>
      </c>
      <c r="AK27" s="51"/>
      <c r="AL27" s="13"/>
      <c r="AM27" s="13"/>
    </row>
    <row r="28" spans="1:39" ht="19.5" customHeight="1" x14ac:dyDescent="0.2">
      <c r="E28" s="33"/>
      <c r="F28" s="12"/>
      <c r="G28" s="33"/>
      <c r="H28" s="12"/>
      <c r="I28" s="60" t="s">
        <v>92</v>
      </c>
      <c r="J28" s="2"/>
      <c r="K28" s="51"/>
      <c r="L28" s="12"/>
      <c r="M28" s="33"/>
      <c r="N28" s="12"/>
      <c r="O28" s="33"/>
      <c r="P28" s="12"/>
      <c r="Q28" s="381"/>
      <c r="R28" s="331"/>
      <c r="S28" s="354"/>
      <c r="T28" s="27"/>
      <c r="U28" s="28"/>
      <c r="V28" s="330" t="s">
        <v>93</v>
      </c>
      <c r="W28" s="331"/>
      <c r="X28" s="331"/>
      <c r="Y28" s="331"/>
      <c r="Z28" s="58"/>
      <c r="AA28" s="48" t="s">
        <v>59</v>
      </c>
      <c r="AB28" s="30"/>
      <c r="AC28" s="31" t="s">
        <v>39</v>
      </c>
      <c r="AD28" s="51"/>
      <c r="AE28" s="12" t="s">
        <v>44</v>
      </c>
      <c r="AF28" s="7"/>
      <c r="AG28" s="12" t="s">
        <v>44</v>
      </c>
      <c r="AH28" s="51"/>
      <c r="AI28" s="3">
        <f>ROUNDDOWN((AF49/5*2),0)+ROUNDDOWN((AF66/5*2),0)</f>
        <v>0</v>
      </c>
      <c r="AJ28" s="12" t="s">
        <v>44</v>
      </c>
      <c r="AK28" s="51"/>
      <c r="AL28" s="13"/>
      <c r="AM28" s="13"/>
    </row>
    <row r="29" spans="1:39" ht="19.5" customHeight="1" x14ac:dyDescent="0.2">
      <c r="A29" s="348" t="s">
        <v>94</v>
      </c>
      <c r="B29" s="307"/>
      <c r="C29" s="307"/>
      <c r="D29" s="27"/>
      <c r="E29" s="55"/>
      <c r="F29" s="29" t="s">
        <v>39</v>
      </c>
      <c r="G29" s="56"/>
      <c r="H29" s="29" t="s">
        <v>44</v>
      </c>
      <c r="I29" s="30"/>
      <c r="J29" s="29" t="s">
        <v>44</v>
      </c>
      <c r="K29" s="28"/>
      <c r="L29" s="29" t="s">
        <v>44</v>
      </c>
      <c r="M29" s="28"/>
      <c r="N29" s="29" t="s">
        <v>44</v>
      </c>
      <c r="O29" s="28"/>
      <c r="P29" s="57" t="s">
        <v>44</v>
      </c>
      <c r="Q29" s="319"/>
      <c r="R29" s="320"/>
      <c r="S29" s="321"/>
      <c r="T29" s="3"/>
      <c r="U29" s="28"/>
      <c r="V29" s="330" t="s">
        <v>95</v>
      </c>
      <c r="W29" s="331"/>
      <c r="X29" s="331"/>
      <c r="Y29" s="331"/>
      <c r="Z29" s="58"/>
      <c r="AA29" s="48" t="s">
        <v>59</v>
      </c>
      <c r="AB29" s="30"/>
      <c r="AC29" s="31" t="s">
        <v>39</v>
      </c>
      <c r="AD29" s="51"/>
      <c r="AE29" s="12" t="s">
        <v>44</v>
      </c>
      <c r="AF29" s="7"/>
      <c r="AG29" s="12" t="s">
        <v>44</v>
      </c>
      <c r="AH29" s="51"/>
      <c r="AI29" s="3"/>
      <c r="AJ29" s="12" t="s">
        <v>44</v>
      </c>
      <c r="AK29" s="51"/>
      <c r="AL29" s="13"/>
      <c r="AM29" s="13"/>
    </row>
    <row r="30" spans="1:39" ht="19.5" customHeight="1" x14ac:dyDescent="0.2">
      <c r="E30" s="36"/>
      <c r="G30" s="35"/>
      <c r="I30" s="61" t="s">
        <v>96</v>
      </c>
      <c r="J30" s="2"/>
      <c r="K30" s="51"/>
      <c r="M30" s="36"/>
      <c r="O30" s="36"/>
      <c r="Q30" s="1"/>
      <c r="R30" s="3"/>
      <c r="S30" s="1"/>
      <c r="T30" s="27"/>
      <c r="U30" s="28"/>
      <c r="V30" s="330" t="s">
        <v>97</v>
      </c>
      <c r="W30" s="331"/>
      <c r="X30" s="331"/>
      <c r="Y30" s="331"/>
      <c r="Z30" s="58"/>
      <c r="AA30" s="48" t="s">
        <v>77</v>
      </c>
      <c r="AB30" s="30"/>
      <c r="AC30" s="31" t="s">
        <v>39</v>
      </c>
      <c r="AD30" s="51"/>
      <c r="AE30" s="12" t="s">
        <v>44</v>
      </c>
      <c r="AF30" s="7"/>
      <c r="AG30" s="12" t="s">
        <v>44</v>
      </c>
      <c r="AH30" s="51"/>
      <c r="AI30" s="3">
        <f>ROUNDDOWN((AF24/5*2),0)+ROUNDDOWN((AF32/5*2),0)+ROUNDDOWN((AF57/5*2),0)</f>
        <v>0</v>
      </c>
      <c r="AJ30" s="12" t="s">
        <v>44</v>
      </c>
      <c r="AK30" s="51"/>
      <c r="AL30" s="13"/>
      <c r="AM30" s="13"/>
    </row>
    <row r="31" spans="1:39" ht="19.5" customHeight="1" x14ac:dyDescent="0.25">
      <c r="A31" s="350" t="s">
        <v>98</v>
      </c>
      <c r="B31" s="307"/>
      <c r="C31" s="307"/>
      <c r="D31" s="307"/>
      <c r="E31" s="307"/>
      <c r="F31" s="307"/>
      <c r="G31" s="307"/>
      <c r="H31" s="307"/>
      <c r="I31" s="307"/>
      <c r="J31" s="27"/>
      <c r="K31" s="28"/>
      <c r="L31" s="31"/>
      <c r="M31" s="348" t="s">
        <v>99</v>
      </c>
      <c r="N31" s="307"/>
      <c r="O31" s="307"/>
      <c r="P31" s="307"/>
      <c r="Q31" s="351"/>
      <c r="R31" s="32"/>
      <c r="S31" s="28"/>
      <c r="T31" s="32"/>
      <c r="U31" s="293"/>
      <c r="V31" s="330" t="s">
        <v>100</v>
      </c>
      <c r="W31" s="331"/>
      <c r="X31" s="331"/>
      <c r="Y31" s="331"/>
      <c r="Z31" s="58"/>
      <c r="AA31" s="48" t="s">
        <v>77</v>
      </c>
      <c r="AB31" s="30"/>
      <c r="AC31" s="31" t="s">
        <v>39</v>
      </c>
      <c r="AD31" s="51"/>
      <c r="AE31" s="12" t="s">
        <v>44</v>
      </c>
      <c r="AF31" s="7"/>
      <c r="AG31" s="12" t="s">
        <v>44</v>
      </c>
      <c r="AH31" s="51"/>
      <c r="AI31" s="3"/>
      <c r="AJ31" s="12" t="s">
        <v>44</v>
      </c>
      <c r="AK31" s="51"/>
      <c r="AL31" s="13"/>
      <c r="AM31" s="13"/>
    </row>
    <row r="32" spans="1:39" ht="19.5" customHeight="1" x14ac:dyDescent="0.2">
      <c r="K32" s="36"/>
      <c r="S32" s="36"/>
      <c r="T32" s="27"/>
      <c r="U32" s="28"/>
      <c r="V32" s="330" t="s">
        <v>101</v>
      </c>
      <c r="W32" s="331"/>
      <c r="X32" s="331"/>
      <c r="Y32" s="331"/>
      <c r="Z32" s="58"/>
      <c r="AA32" s="48" t="s">
        <v>77</v>
      </c>
      <c r="AB32" s="30"/>
      <c r="AC32" s="31" t="s">
        <v>39</v>
      </c>
      <c r="AD32" s="51"/>
      <c r="AE32" s="12" t="s">
        <v>44</v>
      </c>
      <c r="AF32" s="7"/>
      <c r="AG32" s="12" t="s">
        <v>44</v>
      </c>
      <c r="AH32" s="51"/>
      <c r="AI32" s="3"/>
      <c r="AJ32" s="12" t="s">
        <v>44</v>
      </c>
      <c r="AK32" s="51"/>
      <c r="AL32" s="13"/>
      <c r="AM32" s="13"/>
    </row>
    <row r="33" spans="1:39" ht="19.5" customHeight="1" x14ac:dyDescent="0.2">
      <c r="E33" s="52" t="s">
        <v>32</v>
      </c>
      <c r="F33" s="42"/>
      <c r="G33" s="347" t="s">
        <v>102</v>
      </c>
      <c r="H33" s="320"/>
      <c r="I33" s="320"/>
      <c r="J33" s="42"/>
      <c r="K33" s="24" t="s">
        <v>81</v>
      </c>
      <c r="L33" s="42"/>
      <c r="M33" s="24" t="s">
        <v>103</v>
      </c>
      <c r="N33" s="62"/>
      <c r="O33" s="24" t="s">
        <v>104</v>
      </c>
      <c r="T33" s="27"/>
      <c r="U33" s="28"/>
      <c r="V33" s="330" t="s">
        <v>105</v>
      </c>
      <c r="W33" s="331"/>
      <c r="X33" s="331"/>
      <c r="Y33" s="331"/>
      <c r="Z33" s="58"/>
      <c r="AA33" s="48" t="s">
        <v>106</v>
      </c>
      <c r="AB33" s="30"/>
      <c r="AC33" s="31" t="s">
        <v>39</v>
      </c>
      <c r="AD33" s="51"/>
      <c r="AE33" s="12" t="s">
        <v>44</v>
      </c>
      <c r="AF33" s="7"/>
      <c r="AG33" s="12" t="s">
        <v>44</v>
      </c>
      <c r="AH33" s="51"/>
      <c r="AI33" s="3">
        <f>ROUNDDOWN((AF47/5*2),0)</f>
        <v>0</v>
      </c>
      <c r="AJ33" s="12" t="s">
        <v>44</v>
      </c>
      <c r="AK33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33" s="13"/>
      <c r="AM33" s="13"/>
    </row>
    <row r="34" spans="1:39" ht="19.5" customHeight="1" x14ac:dyDescent="0.2">
      <c r="A34" s="348" t="s">
        <v>107</v>
      </c>
      <c r="B34" s="307"/>
      <c r="C34" s="307"/>
      <c r="D34" s="27"/>
      <c r="E34" s="63"/>
      <c r="F34" s="29" t="s">
        <v>39</v>
      </c>
      <c r="G34" s="349"/>
      <c r="H34" s="309"/>
      <c r="I34" s="310"/>
      <c r="J34" s="29" t="s">
        <v>44</v>
      </c>
      <c r="K34" s="30"/>
      <c r="L34" s="29" t="s">
        <v>44</v>
      </c>
      <c r="M34" s="39"/>
      <c r="N34" s="29" t="s">
        <v>44</v>
      </c>
      <c r="O34" s="28"/>
      <c r="P34" s="31"/>
      <c r="T34" s="27"/>
      <c r="U34" s="28"/>
      <c r="V34" s="330" t="s">
        <v>108</v>
      </c>
      <c r="W34" s="331"/>
      <c r="X34" s="331"/>
      <c r="Y34" s="331"/>
      <c r="Z34" s="58"/>
      <c r="AA34" s="48" t="s">
        <v>106</v>
      </c>
      <c r="AB34" s="30"/>
      <c r="AC34" s="31" t="s">
        <v>39</v>
      </c>
      <c r="AD34" s="51"/>
      <c r="AE34" s="12" t="s">
        <v>44</v>
      </c>
      <c r="AF34" s="7"/>
      <c r="AG34" s="12" t="s">
        <v>44</v>
      </c>
      <c r="AH34" s="51"/>
      <c r="AI34" s="3"/>
      <c r="AJ34" s="12" t="s">
        <v>44</v>
      </c>
      <c r="AK34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34" s="13"/>
      <c r="AM34" s="13"/>
    </row>
    <row r="35" spans="1:39" ht="19.5" customHeight="1" x14ac:dyDescent="0.2">
      <c r="E35" s="35"/>
      <c r="G35" s="35"/>
      <c r="H35" s="35"/>
      <c r="I35" s="35"/>
      <c r="K35" s="60" t="s">
        <v>109</v>
      </c>
      <c r="M35" s="35"/>
      <c r="O35" s="35"/>
      <c r="T35" s="27"/>
      <c r="U35" s="293"/>
      <c r="V35" s="330" t="s">
        <v>110</v>
      </c>
      <c r="W35" s="331"/>
      <c r="X35" s="331"/>
      <c r="Y35" s="331"/>
      <c r="Z35" s="58"/>
      <c r="AA35" s="48" t="s">
        <v>106</v>
      </c>
      <c r="AB35" s="63"/>
      <c r="AC35" s="31" t="s">
        <v>39</v>
      </c>
      <c r="AD35" s="51"/>
      <c r="AE35" s="12" t="s">
        <v>44</v>
      </c>
      <c r="AF35" s="7"/>
      <c r="AG35" s="12" t="s">
        <v>44</v>
      </c>
      <c r="AH35" s="51"/>
      <c r="AI35" s="3"/>
      <c r="AJ35" s="12" t="s">
        <v>44</v>
      </c>
      <c r="AK35" s="64" t="e">
        <f>MIN(IF(Equipamiento!B54&gt;Equipamiento!B56,Tablas!H293,-Equipamiento!A12-Equipamiento!H15),IF(Equipamiento!B54&gt;Equipamiento!B57,Tablas!H294,Equipamiento!A12-Equipamiento!H15),-Equipamiento!A12-Equipamiento!H15)+VLOOKUP(SIZE,Tablas!$A$59:$I$67,9,FALSE())</f>
        <v>#N/A</v>
      </c>
      <c r="AL35" s="13"/>
      <c r="AM35" s="13"/>
    </row>
    <row r="36" spans="1:39" ht="19.5" customHeight="1" x14ac:dyDescent="0.2">
      <c r="A36" s="348" t="s">
        <v>111</v>
      </c>
      <c r="B36" s="307"/>
      <c r="C36" s="307"/>
      <c r="D36" s="27"/>
      <c r="E36" s="63"/>
      <c r="F36" s="29" t="s">
        <v>39</v>
      </c>
      <c r="G36" s="349"/>
      <c r="H36" s="309"/>
      <c r="I36" s="310"/>
      <c r="J36" s="29" t="s">
        <v>44</v>
      </c>
      <c r="K36" s="30"/>
      <c r="L36" s="29" t="s">
        <v>44</v>
      </c>
      <c r="M36" s="39"/>
      <c r="N36" s="29" t="s">
        <v>44</v>
      </c>
      <c r="O36" s="28"/>
      <c r="P36" s="31"/>
      <c r="T36" s="27"/>
      <c r="U36" s="28"/>
      <c r="V36" s="330" t="s">
        <v>112</v>
      </c>
      <c r="W36" s="331"/>
      <c r="X36" s="331"/>
      <c r="Y36" s="331"/>
      <c r="Z36" s="58"/>
      <c r="AA36" s="48" t="s">
        <v>69</v>
      </c>
      <c r="AB36" s="30"/>
      <c r="AC36" s="31" t="s">
        <v>39</v>
      </c>
      <c r="AD36" s="51"/>
      <c r="AE36" s="12" t="s">
        <v>44</v>
      </c>
      <c r="AF36" s="7"/>
      <c r="AG36" s="12" t="s">
        <v>44</v>
      </c>
      <c r="AH36" s="51"/>
      <c r="AI36" s="3"/>
      <c r="AJ36" s="12" t="s">
        <v>44</v>
      </c>
      <c r="AK36" s="51"/>
      <c r="AL36" s="13"/>
      <c r="AM36" s="13" t="s">
        <v>0</v>
      </c>
    </row>
    <row r="37" spans="1:39" ht="19.5" customHeight="1" x14ac:dyDescent="0.2">
      <c r="E37" s="35"/>
      <c r="G37" s="35"/>
      <c r="H37" s="35"/>
      <c r="I37" s="35"/>
      <c r="K37" s="60" t="s">
        <v>92</v>
      </c>
      <c r="M37" s="35"/>
      <c r="O37" s="35"/>
      <c r="T37" s="27"/>
      <c r="U37" s="28"/>
      <c r="V37" s="330" t="s">
        <v>113</v>
      </c>
      <c r="W37" s="331"/>
      <c r="X37" s="331"/>
      <c r="Y37" s="331"/>
      <c r="Z37" s="58"/>
      <c r="AA37" s="48" t="s">
        <v>59</v>
      </c>
      <c r="AB37" s="30"/>
      <c r="AC37" s="31" t="s">
        <v>39</v>
      </c>
      <c r="AD37" s="51"/>
      <c r="AE37" s="12" t="s">
        <v>44</v>
      </c>
      <c r="AF37" s="7"/>
      <c r="AG37" s="12" t="s">
        <v>44</v>
      </c>
      <c r="AH37" s="51"/>
      <c r="AI37" s="3"/>
      <c r="AJ37" s="12" t="s">
        <v>44</v>
      </c>
      <c r="AK37" s="51"/>
      <c r="AL37" s="13"/>
      <c r="AM37" s="13"/>
    </row>
    <row r="38" spans="1:39" ht="19.5" customHeight="1" x14ac:dyDescent="0.2">
      <c r="A38" s="348" t="s">
        <v>114</v>
      </c>
      <c r="B38" s="307"/>
      <c r="C38" s="307"/>
      <c r="D38" s="27"/>
      <c r="E38" s="63"/>
      <c r="F38" s="29" t="s">
        <v>39</v>
      </c>
      <c r="G38" s="349"/>
      <c r="H38" s="309"/>
      <c r="I38" s="310"/>
      <c r="J38" s="29" t="s">
        <v>44</v>
      </c>
      <c r="K38" s="30"/>
      <c r="L38" s="29" t="s">
        <v>44</v>
      </c>
      <c r="M38" s="39"/>
      <c r="N38" s="29" t="s">
        <v>44</v>
      </c>
      <c r="O38" s="28"/>
      <c r="P38" s="31"/>
      <c r="T38" s="27"/>
      <c r="U38" s="28"/>
      <c r="V38" s="330" t="s">
        <v>115</v>
      </c>
      <c r="W38" s="331"/>
      <c r="X38" s="331"/>
      <c r="Y38" s="331"/>
      <c r="Z38" s="58"/>
      <c r="AA38" s="48" t="s">
        <v>77</v>
      </c>
      <c r="AB38" s="30"/>
      <c r="AC38" s="31" t="s">
        <v>39</v>
      </c>
      <c r="AD38" s="51"/>
      <c r="AE38" s="12" t="s">
        <v>44</v>
      </c>
      <c r="AF38" s="7"/>
      <c r="AG38" s="12" t="s">
        <v>44</v>
      </c>
      <c r="AH38" s="51"/>
      <c r="AI38" s="3"/>
      <c r="AJ38" s="12" t="s">
        <v>44</v>
      </c>
      <c r="AK38" s="51"/>
      <c r="AL38" s="13"/>
      <c r="AM38" s="13"/>
    </row>
    <row r="39" spans="1:39" ht="19.5" customHeight="1" x14ac:dyDescent="0.2">
      <c r="A39" s="31"/>
      <c r="E39" s="36"/>
      <c r="G39" s="36"/>
      <c r="H39" s="36"/>
      <c r="I39" s="36"/>
      <c r="K39" s="61" t="s">
        <v>109</v>
      </c>
      <c r="M39" s="36"/>
      <c r="O39" s="36"/>
      <c r="T39" s="27"/>
      <c r="U39" s="293"/>
      <c r="V39" s="330" t="s">
        <v>115</v>
      </c>
      <c r="W39" s="331"/>
      <c r="X39" s="331"/>
      <c r="Y39" s="331"/>
      <c r="Z39" s="58"/>
      <c r="AA39" s="48" t="s">
        <v>77</v>
      </c>
      <c r="AB39" s="30"/>
      <c r="AC39" s="31" t="s">
        <v>39</v>
      </c>
      <c r="AD39" s="51"/>
      <c r="AE39" s="12" t="s">
        <v>44</v>
      </c>
      <c r="AF39" s="7"/>
      <c r="AG39" s="12" t="s">
        <v>44</v>
      </c>
      <c r="AH39" s="51"/>
      <c r="AI39" s="3"/>
      <c r="AJ39" s="12" t="s">
        <v>44</v>
      </c>
      <c r="AK39" s="51"/>
      <c r="AL39" s="13"/>
      <c r="AM39" s="13"/>
    </row>
    <row r="40" spans="1:39" ht="19.5" customHeight="1" x14ac:dyDescent="0.2">
      <c r="A40" s="31"/>
      <c r="T40" s="27"/>
      <c r="U40" s="28"/>
      <c r="V40" s="330" t="s">
        <v>115</v>
      </c>
      <c r="W40" s="331"/>
      <c r="X40" s="331"/>
      <c r="Y40" s="331"/>
      <c r="Z40" s="58"/>
      <c r="AA40" s="48" t="s">
        <v>77</v>
      </c>
      <c r="AB40" s="30"/>
      <c r="AC40" s="31" t="s">
        <v>39</v>
      </c>
      <c r="AD40" s="51"/>
      <c r="AE40" s="12" t="s">
        <v>44</v>
      </c>
      <c r="AF40" s="7"/>
      <c r="AG40" s="12" t="s">
        <v>44</v>
      </c>
      <c r="AH40" s="51"/>
      <c r="AI40" s="3"/>
      <c r="AJ40" s="12" t="s">
        <v>44</v>
      </c>
      <c r="AK40" s="51"/>
      <c r="AL40" s="13"/>
      <c r="AM40" s="13"/>
    </row>
    <row r="41" spans="1:39" ht="19.5" customHeight="1" x14ac:dyDescent="0.2">
      <c r="A41" s="306"/>
      <c r="B41" s="307"/>
      <c r="C41" s="307"/>
      <c r="D41" s="307"/>
      <c r="E41" s="307"/>
      <c r="F41" s="307"/>
      <c r="G41" s="1"/>
      <c r="H41" s="1"/>
      <c r="I41" s="1"/>
      <c r="Q41" s="1"/>
      <c r="T41" s="27"/>
      <c r="U41" s="28"/>
      <c r="V41" s="330" t="s">
        <v>116</v>
      </c>
      <c r="W41" s="331"/>
      <c r="X41" s="331"/>
      <c r="Y41" s="331"/>
      <c r="Z41" s="58"/>
      <c r="AA41" s="48" t="s">
        <v>77</v>
      </c>
      <c r="AB41" s="30"/>
      <c r="AC41" s="31" t="s">
        <v>39</v>
      </c>
      <c r="AD41" s="51"/>
      <c r="AE41" s="12" t="s">
        <v>44</v>
      </c>
      <c r="AF41" s="7"/>
      <c r="AG41" s="12" t="s">
        <v>44</v>
      </c>
      <c r="AH41" s="51"/>
      <c r="AI41" s="3"/>
      <c r="AJ41" s="12" t="s">
        <v>44</v>
      </c>
      <c r="AK41" s="51"/>
      <c r="AL41" s="13"/>
      <c r="AM41" s="13"/>
    </row>
    <row r="42" spans="1:39" ht="19.5" customHeight="1" x14ac:dyDescent="0.25">
      <c r="A42" s="314" t="s">
        <v>117</v>
      </c>
      <c r="B42" s="312"/>
      <c r="C42" s="312"/>
      <c r="D42" s="312"/>
      <c r="E42" s="312"/>
      <c r="F42" s="315"/>
      <c r="G42" s="308" t="s">
        <v>118</v>
      </c>
      <c r="H42" s="309"/>
      <c r="I42" s="310"/>
      <c r="J42" s="311" t="s">
        <v>119</v>
      </c>
      <c r="K42" s="312"/>
      <c r="L42" s="312"/>
      <c r="M42" s="312"/>
      <c r="N42" s="312"/>
      <c r="O42" s="313" t="s">
        <v>120</v>
      </c>
      <c r="P42" s="312"/>
      <c r="Q42" s="312"/>
      <c r="R42" s="312"/>
      <c r="S42" s="312"/>
      <c r="T42" s="27"/>
      <c r="U42" s="28"/>
      <c r="V42" s="330" t="s">
        <v>121</v>
      </c>
      <c r="W42" s="331"/>
      <c r="X42" s="331"/>
      <c r="Y42" s="331"/>
      <c r="Z42" s="58"/>
      <c r="AA42" s="48" t="s">
        <v>59</v>
      </c>
      <c r="AB42" s="30"/>
      <c r="AC42" s="31" t="s">
        <v>39</v>
      </c>
      <c r="AD42" s="51"/>
      <c r="AE42" s="12" t="s">
        <v>44</v>
      </c>
      <c r="AF42" s="7"/>
      <c r="AG42" s="12" t="s">
        <v>44</v>
      </c>
      <c r="AH42" s="51"/>
      <c r="AI42" s="3"/>
      <c r="AJ42" s="12" t="s">
        <v>44</v>
      </c>
      <c r="AK42" s="51"/>
      <c r="AL42" s="13"/>
      <c r="AM42" s="13"/>
    </row>
    <row r="43" spans="1:39" ht="19.5" customHeight="1" x14ac:dyDescent="0.2">
      <c r="A43" s="316"/>
      <c r="B43" s="317"/>
      <c r="C43" s="317"/>
      <c r="D43" s="317"/>
      <c r="E43" s="317"/>
      <c r="F43" s="318"/>
      <c r="G43" s="322"/>
      <c r="H43" s="317"/>
      <c r="I43" s="318"/>
      <c r="J43" s="323"/>
      <c r="K43" s="317"/>
      <c r="L43" s="317"/>
      <c r="M43" s="317"/>
      <c r="N43" s="318"/>
      <c r="O43" s="316"/>
      <c r="P43" s="317"/>
      <c r="Q43" s="317"/>
      <c r="R43" s="317"/>
      <c r="S43" s="318"/>
      <c r="T43" s="32"/>
      <c r="U43" s="293"/>
      <c r="V43" s="330" t="s">
        <v>122</v>
      </c>
      <c r="W43" s="331"/>
      <c r="X43" s="331"/>
      <c r="Y43" s="331"/>
      <c r="Z43" s="58"/>
      <c r="AA43" s="48" t="s">
        <v>42</v>
      </c>
      <c r="AB43" s="30"/>
      <c r="AC43" s="31" t="s">
        <v>39</v>
      </c>
      <c r="AD43" s="51"/>
      <c r="AE43" s="12" t="s">
        <v>44</v>
      </c>
      <c r="AF43" s="7"/>
      <c r="AG43" s="12" t="s">
        <v>44</v>
      </c>
      <c r="AH43" s="51"/>
      <c r="AI43" s="3">
        <f>ROUNDDOWN((AF32/5*2),0)</f>
        <v>0</v>
      </c>
      <c r="AJ43" s="12" t="s">
        <v>44</v>
      </c>
      <c r="AK43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3" s="13"/>
      <c r="AM43" s="13"/>
    </row>
    <row r="44" spans="1:39" ht="19.5" customHeight="1" x14ac:dyDescent="0.2">
      <c r="A44" s="319"/>
      <c r="B44" s="320"/>
      <c r="C44" s="320"/>
      <c r="D44" s="320"/>
      <c r="E44" s="320"/>
      <c r="F44" s="321"/>
      <c r="G44" s="319"/>
      <c r="H44" s="320"/>
      <c r="I44" s="321"/>
      <c r="J44" s="319"/>
      <c r="K44" s="320"/>
      <c r="L44" s="320"/>
      <c r="M44" s="320"/>
      <c r="N44" s="321"/>
      <c r="O44" s="319"/>
      <c r="P44" s="320"/>
      <c r="Q44" s="320"/>
      <c r="R44" s="320"/>
      <c r="S44" s="321"/>
      <c r="T44" s="32"/>
      <c r="U44" s="28"/>
      <c r="V44" s="330" t="s">
        <v>123</v>
      </c>
      <c r="W44" s="331"/>
      <c r="X44" s="331"/>
      <c r="Y44" s="331"/>
      <c r="Z44" s="58"/>
      <c r="AA44" s="48" t="s">
        <v>42</v>
      </c>
      <c r="AB44" s="30"/>
      <c r="AC44" s="31" t="s">
        <v>39</v>
      </c>
      <c r="AD44" s="51"/>
      <c r="AE44" s="12" t="s">
        <v>44</v>
      </c>
      <c r="AF44" s="7"/>
      <c r="AG44" s="12" t="s">
        <v>44</v>
      </c>
      <c r="AH44" s="51"/>
      <c r="AI44" s="3">
        <f>ROUNDDOWN((AF64/5*2),0)</f>
        <v>0</v>
      </c>
      <c r="AJ44" s="12" t="s">
        <v>44</v>
      </c>
      <c r="AK44" s="51"/>
      <c r="AL44" s="13"/>
      <c r="AM44" s="13"/>
    </row>
    <row r="45" spans="1:39" ht="19.5" customHeight="1" x14ac:dyDescent="0.2">
      <c r="A45" s="308" t="s">
        <v>124</v>
      </c>
      <c r="B45" s="309"/>
      <c r="C45" s="310"/>
      <c r="D45" s="308" t="s">
        <v>6</v>
      </c>
      <c r="E45" s="309"/>
      <c r="F45" s="310"/>
      <c r="G45" s="324" t="s">
        <v>125</v>
      </c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65" t="s">
        <v>18</v>
      </c>
      <c r="T45" s="27"/>
      <c r="U45" s="28"/>
      <c r="V45" s="330" t="s">
        <v>126</v>
      </c>
      <c r="W45" s="331"/>
      <c r="X45" s="331"/>
      <c r="Y45" s="331"/>
      <c r="Z45" s="331"/>
      <c r="AA45" s="48" t="s">
        <v>106</v>
      </c>
      <c r="AB45" s="30"/>
      <c r="AC45" s="31" t="s">
        <v>39</v>
      </c>
      <c r="AD45" s="51"/>
      <c r="AE45" s="12" t="s">
        <v>44</v>
      </c>
      <c r="AF45" s="7"/>
      <c r="AG45" s="12" t="s">
        <v>44</v>
      </c>
      <c r="AH45" s="51"/>
      <c r="AI45" s="3"/>
      <c r="AJ45" s="12" t="s">
        <v>44</v>
      </c>
      <c r="AK45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5" s="13"/>
      <c r="AM45" s="13"/>
    </row>
    <row r="46" spans="1:39" ht="19.5" customHeight="1" x14ac:dyDescent="0.2">
      <c r="A46" s="325"/>
      <c r="B46" s="317"/>
      <c r="C46" s="318"/>
      <c r="D46" s="325"/>
      <c r="E46" s="317"/>
      <c r="F46" s="318"/>
      <c r="G46" s="326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27"/>
      <c r="T46" s="27"/>
      <c r="U46" s="28"/>
      <c r="V46" s="330" t="s">
        <v>127</v>
      </c>
      <c r="W46" s="331"/>
      <c r="X46" s="331"/>
      <c r="Y46" s="331"/>
      <c r="Z46" s="58"/>
      <c r="AA46" s="48" t="s">
        <v>128</v>
      </c>
      <c r="AB46" s="55"/>
      <c r="AC46" s="31" t="s">
        <v>39</v>
      </c>
      <c r="AD46" s="51"/>
      <c r="AE46" s="12" t="s">
        <v>44</v>
      </c>
      <c r="AF46" s="7"/>
      <c r="AG46" s="12" t="s">
        <v>44</v>
      </c>
      <c r="AH46" s="66"/>
      <c r="AI46" s="3"/>
      <c r="AJ46" s="12" t="s">
        <v>44</v>
      </c>
      <c r="AK46" s="66">
        <f>(MIN(IF(Equipamiento!B54&gt;Equipamiento!B56,Tablas!H293,-Equipamiento!A12-Equipamiento!H15),IF(Equipamiento!B54&gt;Equipamiento!B57,Tablas!H294,Equipamiento!A12-Equipamiento!H15),-Equipamiento!A12-Equipamiento!H15))*2</f>
        <v>0</v>
      </c>
      <c r="AL46" s="13"/>
      <c r="AM46" s="13"/>
    </row>
    <row r="47" spans="1:39" ht="19.5" customHeight="1" x14ac:dyDescent="0.2">
      <c r="A47" s="332"/>
      <c r="B47" s="320"/>
      <c r="C47" s="321"/>
      <c r="D47" s="332"/>
      <c r="E47" s="320"/>
      <c r="F47" s="321"/>
      <c r="G47" s="329"/>
      <c r="H47" s="320"/>
      <c r="I47" s="320"/>
      <c r="J47" s="320"/>
      <c r="K47" s="320"/>
      <c r="L47" s="320"/>
      <c r="M47" s="320"/>
      <c r="N47" s="320"/>
      <c r="O47" s="320"/>
      <c r="P47" s="320"/>
      <c r="Q47" s="320"/>
      <c r="R47" s="320"/>
      <c r="S47" s="328"/>
      <c r="T47" s="27"/>
      <c r="U47" s="28"/>
      <c r="V47" s="330" t="s">
        <v>129</v>
      </c>
      <c r="W47" s="331"/>
      <c r="X47" s="331"/>
      <c r="Y47" s="331"/>
      <c r="Z47" s="58"/>
      <c r="AA47" s="48" t="s">
        <v>106</v>
      </c>
      <c r="AB47" s="30"/>
      <c r="AC47" s="31" t="s">
        <v>39</v>
      </c>
      <c r="AD47" s="51"/>
      <c r="AE47" s="12" t="s">
        <v>44</v>
      </c>
      <c r="AF47" s="7"/>
      <c r="AG47" s="12" t="s">
        <v>44</v>
      </c>
      <c r="AH47" s="51"/>
      <c r="AI47" s="3">
        <f>ROUNDDOWN((AF59/5*2),0)</f>
        <v>0</v>
      </c>
      <c r="AJ47" s="12" t="s">
        <v>44</v>
      </c>
      <c r="AK47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7" s="13"/>
      <c r="AM47" s="13"/>
    </row>
    <row r="48" spans="1:39" ht="19.5" customHeight="1" x14ac:dyDescent="0.2">
      <c r="A48" s="303" t="s">
        <v>130</v>
      </c>
      <c r="B48" s="304"/>
      <c r="C48" s="305"/>
      <c r="D48" s="396"/>
      <c r="E48" s="397"/>
      <c r="F48" s="398"/>
      <c r="G48" s="295"/>
      <c r="H48" s="399"/>
      <c r="I48" s="398"/>
      <c r="J48" s="400"/>
      <c r="K48" s="401"/>
      <c r="L48" s="35"/>
      <c r="M48" s="35"/>
      <c r="N48" s="35"/>
      <c r="O48" s="35"/>
      <c r="P48" s="35"/>
      <c r="Q48" s="35"/>
      <c r="R48" s="35"/>
      <c r="S48" s="296"/>
      <c r="T48" s="27"/>
      <c r="U48" s="293"/>
      <c r="V48" s="330" t="s">
        <v>131</v>
      </c>
      <c r="W48" s="331"/>
      <c r="X48" s="331"/>
      <c r="Y48" s="331"/>
      <c r="Z48" s="58"/>
      <c r="AA48" s="48" t="s">
        <v>77</v>
      </c>
      <c r="AB48" s="30"/>
      <c r="AC48" s="31" t="s">
        <v>39</v>
      </c>
      <c r="AD48" s="51"/>
      <c r="AE48" s="12" t="s">
        <v>44</v>
      </c>
      <c r="AF48" s="7"/>
      <c r="AG48" s="12" t="s">
        <v>44</v>
      </c>
      <c r="AH48" s="51"/>
      <c r="AI48" s="3">
        <f>ROUNDDOWN((AF54/5*2),0)</f>
        <v>0</v>
      </c>
      <c r="AJ48" s="12" t="s">
        <v>44</v>
      </c>
      <c r="AK48" s="51"/>
      <c r="AL48" s="13"/>
      <c r="AM48" s="13"/>
    </row>
    <row r="49" spans="1:39" ht="19.5" customHeight="1" x14ac:dyDescent="0.2"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294"/>
      <c r="T49" s="27"/>
      <c r="U49" s="28"/>
      <c r="V49" s="330" t="s">
        <v>132</v>
      </c>
      <c r="W49" s="331"/>
      <c r="X49" s="331"/>
      <c r="Y49" s="331"/>
      <c r="Z49" s="58"/>
      <c r="AA49" s="48" t="s">
        <v>59</v>
      </c>
      <c r="AB49" s="30"/>
      <c r="AC49" s="31" t="s">
        <v>39</v>
      </c>
      <c r="AD49" s="51"/>
      <c r="AE49" s="12" t="s">
        <v>44</v>
      </c>
      <c r="AF49" s="7"/>
      <c r="AG49" s="12" t="s">
        <v>44</v>
      </c>
      <c r="AH49" s="51"/>
      <c r="AI49" s="3"/>
      <c r="AJ49" s="12" t="s">
        <v>44</v>
      </c>
      <c r="AK49" s="51"/>
      <c r="AL49" s="13"/>
      <c r="AM49" s="13"/>
    </row>
    <row r="50" spans="1:39" ht="19.5" customHeight="1" x14ac:dyDescent="0.2">
      <c r="A50" s="306"/>
      <c r="B50" s="307"/>
      <c r="C50" s="307"/>
      <c r="D50" s="307"/>
      <c r="E50" s="307"/>
      <c r="F50" s="307"/>
      <c r="G50" s="1"/>
      <c r="H50" s="1"/>
      <c r="I50" s="1"/>
      <c r="Q50" s="1"/>
      <c r="T50" s="27"/>
      <c r="U50" s="28"/>
      <c r="V50" s="330" t="s">
        <v>133</v>
      </c>
      <c r="W50" s="331"/>
      <c r="X50" s="331"/>
      <c r="Y50" s="331"/>
      <c r="Z50" s="58"/>
      <c r="AA50" s="48" t="s">
        <v>59</v>
      </c>
      <c r="AB50" s="30"/>
      <c r="AC50" s="31" t="s">
        <v>39</v>
      </c>
      <c r="AD50" s="51"/>
      <c r="AE50" s="12" t="s">
        <v>44</v>
      </c>
      <c r="AF50" s="7"/>
      <c r="AG50" s="12" t="s">
        <v>44</v>
      </c>
      <c r="AH50" s="51"/>
      <c r="AI50" s="3"/>
      <c r="AJ50" s="12" t="s">
        <v>44</v>
      </c>
      <c r="AK50" s="51"/>
      <c r="AL50" s="13"/>
      <c r="AM50" s="13"/>
    </row>
    <row r="51" spans="1:39" ht="19.5" customHeight="1" x14ac:dyDescent="0.25">
      <c r="A51" s="314" t="s">
        <v>117</v>
      </c>
      <c r="B51" s="312"/>
      <c r="C51" s="312"/>
      <c r="D51" s="312"/>
      <c r="E51" s="312"/>
      <c r="F51" s="315"/>
      <c r="G51" s="308" t="s">
        <v>118</v>
      </c>
      <c r="H51" s="309"/>
      <c r="I51" s="310"/>
      <c r="J51" s="311" t="s">
        <v>119</v>
      </c>
      <c r="K51" s="312"/>
      <c r="L51" s="312"/>
      <c r="M51" s="312"/>
      <c r="N51" s="312"/>
      <c r="O51" s="313" t="s">
        <v>120</v>
      </c>
      <c r="P51" s="312"/>
      <c r="Q51" s="312"/>
      <c r="R51" s="312"/>
      <c r="S51" s="312"/>
      <c r="T51" s="3"/>
      <c r="U51" s="28"/>
      <c r="V51" s="330" t="s">
        <v>134</v>
      </c>
      <c r="W51" s="331"/>
      <c r="X51" s="331"/>
      <c r="Y51" s="331"/>
      <c r="Z51" s="58"/>
      <c r="AA51" s="48" t="s">
        <v>59</v>
      </c>
      <c r="AB51" s="30"/>
      <c r="AC51" s="31" t="s">
        <v>39</v>
      </c>
      <c r="AD51" s="51"/>
      <c r="AE51" s="12" t="s">
        <v>44</v>
      </c>
      <c r="AF51" s="7"/>
      <c r="AG51" s="12" t="s">
        <v>44</v>
      </c>
      <c r="AH51" s="51"/>
      <c r="AI51" s="3"/>
      <c r="AJ51" s="12" t="s">
        <v>44</v>
      </c>
      <c r="AK51" s="51"/>
      <c r="AL51" s="13"/>
      <c r="AM51" s="13"/>
    </row>
    <row r="52" spans="1:39" ht="19.5" customHeight="1" x14ac:dyDescent="0.2">
      <c r="A52" s="316"/>
      <c r="B52" s="317"/>
      <c r="C52" s="317"/>
      <c r="D52" s="317"/>
      <c r="E52" s="317"/>
      <c r="F52" s="318"/>
      <c r="G52" s="322"/>
      <c r="H52" s="317"/>
      <c r="I52" s="318"/>
      <c r="J52" s="323"/>
      <c r="K52" s="317"/>
      <c r="L52" s="317"/>
      <c r="M52" s="317"/>
      <c r="N52" s="318"/>
      <c r="O52" s="316"/>
      <c r="P52" s="317"/>
      <c r="Q52" s="317"/>
      <c r="R52" s="317"/>
      <c r="S52" s="318"/>
      <c r="T52" s="32"/>
      <c r="U52" s="293"/>
      <c r="V52" s="330" t="s">
        <v>135</v>
      </c>
      <c r="W52" s="331"/>
      <c r="X52" s="331"/>
      <c r="Y52" s="331"/>
      <c r="Z52" s="58"/>
      <c r="AA52" s="48" t="s">
        <v>59</v>
      </c>
      <c r="AB52" s="30"/>
      <c r="AC52" s="31" t="s">
        <v>39</v>
      </c>
      <c r="AD52" s="51"/>
      <c r="AE52" s="12" t="s">
        <v>44</v>
      </c>
      <c r="AF52" s="7"/>
      <c r="AG52" s="12" t="s">
        <v>44</v>
      </c>
      <c r="AH52" s="51"/>
      <c r="AI52" s="3"/>
      <c r="AJ52" s="12" t="s">
        <v>44</v>
      </c>
      <c r="AK52" s="51"/>
      <c r="AL52" s="13"/>
      <c r="AM52" s="13"/>
    </row>
    <row r="53" spans="1:39" ht="19.5" customHeight="1" x14ac:dyDescent="0.2">
      <c r="A53" s="319"/>
      <c r="B53" s="320"/>
      <c r="C53" s="320"/>
      <c r="D53" s="320"/>
      <c r="E53" s="320"/>
      <c r="F53" s="321"/>
      <c r="G53" s="319"/>
      <c r="H53" s="320"/>
      <c r="I53" s="321"/>
      <c r="J53" s="319"/>
      <c r="K53" s="320"/>
      <c r="L53" s="320"/>
      <c r="M53" s="320"/>
      <c r="N53" s="321"/>
      <c r="O53" s="319"/>
      <c r="P53" s="320"/>
      <c r="Q53" s="320"/>
      <c r="R53" s="320"/>
      <c r="S53" s="321"/>
      <c r="T53" s="32"/>
      <c r="U53" s="28"/>
      <c r="V53" s="330" t="s">
        <v>136</v>
      </c>
      <c r="W53" s="331"/>
      <c r="X53" s="331"/>
      <c r="Y53" s="331"/>
      <c r="Z53" s="58"/>
      <c r="AA53" s="48" t="s">
        <v>59</v>
      </c>
      <c r="AB53" s="30"/>
      <c r="AC53" s="31" t="s">
        <v>39</v>
      </c>
      <c r="AD53" s="51"/>
      <c r="AE53" s="12" t="s">
        <v>44</v>
      </c>
      <c r="AF53" s="7"/>
      <c r="AG53" s="12" t="s">
        <v>44</v>
      </c>
      <c r="AH53" s="51"/>
      <c r="AI53" s="3"/>
      <c r="AJ53" s="12" t="s">
        <v>44</v>
      </c>
      <c r="AK53" s="51"/>
      <c r="AL53" s="13"/>
      <c r="AM53" s="13"/>
    </row>
    <row r="54" spans="1:39" ht="19.5" customHeight="1" x14ac:dyDescent="0.2">
      <c r="A54" s="308" t="s">
        <v>124</v>
      </c>
      <c r="B54" s="309"/>
      <c r="C54" s="310"/>
      <c r="D54" s="308" t="s">
        <v>6</v>
      </c>
      <c r="E54" s="309"/>
      <c r="F54" s="310"/>
      <c r="G54" s="324" t="s">
        <v>125</v>
      </c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65" t="s">
        <v>18</v>
      </c>
      <c r="T54" s="27"/>
      <c r="U54" s="28"/>
      <c r="V54" s="330" t="s">
        <v>137</v>
      </c>
      <c r="W54" s="331"/>
      <c r="X54" s="331"/>
      <c r="Y54" s="331"/>
      <c r="Z54" s="58"/>
      <c r="AA54" s="48" t="s">
        <v>59</v>
      </c>
      <c r="AB54" s="30"/>
      <c r="AC54" s="31" t="s">
        <v>39</v>
      </c>
      <c r="AD54" s="51"/>
      <c r="AE54" s="12" t="s">
        <v>44</v>
      </c>
      <c r="AF54" s="7"/>
      <c r="AG54" s="12" t="s">
        <v>44</v>
      </c>
      <c r="AH54" s="51"/>
      <c r="AI54" s="3"/>
      <c r="AJ54" s="12" t="s">
        <v>44</v>
      </c>
      <c r="AK54" s="51"/>
      <c r="AL54" s="13"/>
      <c r="AM54" s="13"/>
    </row>
    <row r="55" spans="1:39" ht="19.5" customHeight="1" x14ac:dyDescent="0.2">
      <c r="A55" s="325"/>
      <c r="B55" s="317"/>
      <c r="C55" s="318"/>
      <c r="D55" s="325"/>
      <c r="E55" s="317"/>
      <c r="F55" s="318"/>
      <c r="G55" s="38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27"/>
      <c r="T55" s="32"/>
      <c r="U55" s="28"/>
      <c r="V55" s="330" t="s">
        <v>138</v>
      </c>
      <c r="W55" s="331"/>
      <c r="X55" s="331"/>
      <c r="Y55" s="331"/>
      <c r="Z55" s="58"/>
      <c r="AA55" s="48" t="s">
        <v>59</v>
      </c>
      <c r="AB55" s="30"/>
      <c r="AC55" s="31" t="s">
        <v>39</v>
      </c>
      <c r="AD55" s="51"/>
      <c r="AE55" s="12" t="s">
        <v>44</v>
      </c>
      <c r="AF55" s="7"/>
      <c r="AG55" s="12" t="s">
        <v>44</v>
      </c>
      <c r="AH55" s="51"/>
      <c r="AI55" s="3"/>
      <c r="AJ55" s="12" t="s">
        <v>44</v>
      </c>
      <c r="AK55" s="51"/>
      <c r="AL55" s="13"/>
      <c r="AM55" s="13"/>
    </row>
    <row r="56" spans="1:39" ht="19.5" customHeight="1" x14ac:dyDescent="0.2">
      <c r="A56" s="332"/>
      <c r="B56" s="320"/>
      <c r="C56" s="321"/>
      <c r="D56" s="332"/>
      <c r="E56" s="320"/>
      <c r="F56" s="321"/>
      <c r="G56" s="32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8"/>
      <c r="T56" s="32"/>
      <c r="U56" s="293"/>
      <c r="V56" s="330" t="s">
        <v>139</v>
      </c>
      <c r="W56" s="331"/>
      <c r="X56" s="331"/>
      <c r="Y56" s="331"/>
      <c r="Z56" s="58"/>
      <c r="AA56" s="48" t="s">
        <v>59</v>
      </c>
      <c r="AB56" s="30"/>
      <c r="AC56" s="31" t="s">
        <v>39</v>
      </c>
      <c r="AD56" s="51"/>
      <c r="AE56" s="12" t="s">
        <v>44</v>
      </c>
      <c r="AF56" s="7"/>
      <c r="AG56" s="12" t="s">
        <v>44</v>
      </c>
      <c r="AH56" s="51"/>
      <c r="AI56" s="3">
        <f>ROUNDDOWN((AF62/5*2),0)</f>
        <v>0</v>
      </c>
      <c r="AJ56" s="12" t="s">
        <v>44</v>
      </c>
      <c r="AK56" s="51"/>
      <c r="AL56" s="13"/>
      <c r="AM56" s="13"/>
    </row>
    <row r="57" spans="1:39" ht="19.5" customHeight="1" x14ac:dyDescent="0.2">
      <c r="A57" s="303" t="s">
        <v>130</v>
      </c>
      <c r="B57" s="304"/>
      <c r="C57" s="333"/>
      <c r="D57" s="396"/>
      <c r="E57" s="397"/>
      <c r="F57" s="398"/>
      <c r="G57" s="295"/>
      <c r="H57" s="399"/>
      <c r="I57" s="398"/>
      <c r="J57" s="400"/>
      <c r="K57" s="401"/>
      <c r="L57" s="35"/>
      <c r="M57" s="35"/>
      <c r="N57" s="35"/>
      <c r="O57" s="35"/>
      <c r="P57" s="35"/>
      <c r="Q57" s="35"/>
      <c r="R57" s="35"/>
      <c r="S57" s="297"/>
      <c r="T57" s="27"/>
      <c r="U57" s="28"/>
      <c r="V57" s="330" t="s">
        <v>140</v>
      </c>
      <c r="W57" s="331"/>
      <c r="X57" s="331"/>
      <c r="Y57" s="331"/>
      <c r="Z57" s="58"/>
      <c r="AA57" s="48" t="s">
        <v>59</v>
      </c>
      <c r="AB57" s="30"/>
      <c r="AC57" s="31" t="s">
        <v>39</v>
      </c>
      <c r="AD57" s="51"/>
      <c r="AE57" s="12" t="s">
        <v>44</v>
      </c>
      <c r="AF57" s="7"/>
      <c r="AG57" s="12" t="s">
        <v>44</v>
      </c>
      <c r="AH57" s="51"/>
      <c r="AI57" s="3"/>
      <c r="AJ57" s="12" t="s">
        <v>44</v>
      </c>
      <c r="AK57" s="51"/>
      <c r="AL57" s="13"/>
      <c r="AM57" s="13"/>
    </row>
    <row r="58" spans="1:39" ht="19.5" customHeight="1" x14ac:dyDescent="0.2"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"/>
      <c r="U58" s="28"/>
      <c r="V58" s="330" t="s">
        <v>141</v>
      </c>
      <c r="W58" s="331"/>
      <c r="X58" s="331"/>
      <c r="Y58" s="331"/>
      <c r="Z58" s="58"/>
      <c r="AA58" s="48" t="s">
        <v>59</v>
      </c>
      <c r="AB58" s="30"/>
      <c r="AC58" s="31" t="s">
        <v>39</v>
      </c>
      <c r="AD58" s="51"/>
      <c r="AE58" s="12" t="s">
        <v>44</v>
      </c>
      <c r="AF58" s="7"/>
      <c r="AG58" s="12" t="s">
        <v>44</v>
      </c>
      <c r="AH58" s="51"/>
      <c r="AI58" s="3"/>
      <c r="AJ58" s="12" t="s">
        <v>44</v>
      </c>
      <c r="AK58" s="51"/>
      <c r="AL58" s="13"/>
      <c r="AM58" s="13"/>
    </row>
    <row r="59" spans="1:39" ht="19.5" customHeight="1" x14ac:dyDescent="0.2">
      <c r="A59" s="306"/>
      <c r="B59" s="307"/>
      <c r="C59" s="307"/>
      <c r="D59" s="307"/>
      <c r="E59" s="307"/>
      <c r="F59" s="307"/>
      <c r="G59" s="1"/>
      <c r="H59" s="1"/>
      <c r="I59" s="1"/>
      <c r="Q59" s="1"/>
      <c r="T59" s="27"/>
      <c r="U59" s="28"/>
      <c r="V59" s="330" t="s">
        <v>142</v>
      </c>
      <c r="W59" s="331"/>
      <c r="X59" s="331"/>
      <c r="Y59" s="331"/>
      <c r="Z59" s="58"/>
      <c r="AA59" s="48" t="s">
        <v>128</v>
      </c>
      <c r="AB59" s="30"/>
      <c r="AC59" s="31" t="s">
        <v>39</v>
      </c>
      <c r="AD59" s="51"/>
      <c r="AE59" s="12" t="s">
        <v>44</v>
      </c>
      <c r="AF59" s="7"/>
      <c r="AG59" s="12" t="s">
        <v>44</v>
      </c>
      <c r="AH59" s="51"/>
      <c r="AI59" s="3">
        <f>ROUNDDOWN((AF47/5*2),0)</f>
        <v>0</v>
      </c>
      <c r="AJ59" s="12" t="s">
        <v>44</v>
      </c>
      <c r="AK59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59" s="13"/>
      <c r="AM59" s="13"/>
    </row>
    <row r="60" spans="1:39" ht="19.5" customHeight="1" x14ac:dyDescent="0.25">
      <c r="A60" s="314" t="s">
        <v>117</v>
      </c>
      <c r="B60" s="312"/>
      <c r="C60" s="312"/>
      <c r="D60" s="312"/>
      <c r="E60" s="312"/>
      <c r="F60" s="315"/>
      <c r="G60" s="308" t="s">
        <v>118</v>
      </c>
      <c r="H60" s="309"/>
      <c r="I60" s="310"/>
      <c r="J60" s="311" t="s">
        <v>119</v>
      </c>
      <c r="K60" s="312"/>
      <c r="L60" s="312"/>
      <c r="M60" s="312"/>
      <c r="N60" s="312"/>
      <c r="O60" s="313" t="s">
        <v>120</v>
      </c>
      <c r="P60" s="312"/>
      <c r="Q60" s="312"/>
      <c r="R60" s="312"/>
      <c r="S60" s="312"/>
      <c r="T60" s="3"/>
      <c r="U60" s="28"/>
      <c r="V60" s="386" t="s">
        <v>143</v>
      </c>
      <c r="W60" s="331"/>
      <c r="X60" s="331"/>
      <c r="Y60" s="331"/>
      <c r="Z60" s="58"/>
      <c r="AA60" s="48" t="s">
        <v>128</v>
      </c>
      <c r="AB60" s="55"/>
      <c r="AC60" s="292" t="s">
        <v>39</v>
      </c>
      <c r="AD60" s="51"/>
      <c r="AE60" s="12" t="s">
        <v>44</v>
      </c>
      <c r="AF60" s="7"/>
      <c r="AG60" s="34" t="s">
        <v>44</v>
      </c>
      <c r="AH60" s="67"/>
      <c r="AI60" s="3"/>
      <c r="AJ60" s="34" t="s">
        <v>44</v>
      </c>
      <c r="AK60" s="67" t="s">
        <v>688</v>
      </c>
      <c r="AL60" s="385" t="s">
        <v>144</v>
      </c>
      <c r="AM60" s="331"/>
    </row>
    <row r="61" spans="1:39" ht="19.5" customHeight="1" x14ac:dyDescent="0.2">
      <c r="A61" s="316"/>
      <c r="B61" s="317"/>
      <c r="C61" s="317"/>
      <c r="D61" s="317"/>
      <c r="E61" s="317"/>
      <c r="F61" s="318"/>
      <c r="G61" s="322"/>
      <c r="H61" s="317"/>
      <c r="I61" s="318"/>
      <c r="J61" s="323"/>
      <c r="K61" s="317"/>
      <c r="L61" s="317"/>
      <c r="M61" s="317"/>
      <c r="N61" s="318"/>
      <c r="O61" s="316"/>
      <c r="P61" s="317"/>
      <c r="Q61" s="317"/>
      <c r="R61" s="317"/>
      <c r="S61" s="318"/>
      <c r="T61" s="32"/>
      <c r="U61" s="28"/>
      <c r="V61" s="330" t="s">
        <v>145</v>
      </c>
      <c r="W61" s="331"/>
      <c r="X61" s="331"/>
      <c r="Y61" s="331"/>
      <c r="Z61" s="58"/>
      <c r="AA61" s="48" t="s">
        <v>69</v>
      </c>
      <c r="AB61" s="30"/>
      <c r="AC61" s="31" t="s">
        <v>39</v>
      </c>
      <c r="AD61" s="7"/>
      <c r="AE61" s="12" t="s">
        <v>44</v>
      </c>
      <c r="AF61" s="7"/>
      <c r="AG61" s="12" t="s">
        <v>44</v>
      </c>
      <c r="AH61" s="7"/>
      <c r="AI61" s="3"/>
      <c r="AJ61" s="12" t="s">
        <v>44</v>
      </c>
      <c r="AK61" s="7"/>
      <c r="AL61" s="13"/>
      <c r="AM61" s="13"/>
    </row>
    <row r="62" spans="1:39" ht="19.5" customHeight="1" x14ac:dyDescent="0.2">
      <c r="A62" s="319"/>
      <c r="B62" s="320"/>
      <c r="C62" s="320"/>
      <c r="D62" s="320"/>
      <c r="E62" s="320"/>
      <c r="F62" s="321"/>
      <c r="G62" s="319"/>
      <c r="H62" s="320"/>
      <c r="I62" s="321"/>
      <c r="J62" s="319"/>
      <c r="K62" s="320"/>
      <c r="L62" s="320"/>
      <c r="M62" s="320"/>
      <c r="N62" s="321"/>
      <c r="O62" s="319"/>
      <c r="P62" s="320"/>
      <c r="Q62" s="320"/>
      <c r="R62" s="320"/>
      <c r="S62" s="321"/>
      <c r="T62" s="32"/>
      <c r="U62" s="293"/>
      <c r="V62" s="330" t="s">
        <v>146</v>
      </c>
      <c r="W62" s="331"/>
      <c r="X62" s="331"/>
      <c r="Y62" s="331"/>
      <c r="Z62" s="58"/>
      <c r="AA62" s="48" t="s">
        <v>69</v>
      </c>
      <c r="AB62" s="30"/>
      <c r="AC62" s="31" t="s">
        <v>39</v>
      </c>
      <c r="AD62" s="51"/>
      <c r="AE62" s="12" t="s">
        <v>44</v>
      </c>
      <c r="AF62" s="7"/>
      <c r="AG62" s="12" t="s">
        <v>44</v>
      </c>
      <c r="AH62" s="51"/>
      <c r="AI62" s="3">
        <f>ROUNDDOWN((AF26/5*2),0)</f>
        <v>0</v>
      </c>
      <c r="AJ62" s="12" t="s">
        <v>44</v>
      </c>
      <c r="AK62" s="51"/>
      <c r="AL62" s="13"/>
      <c r="AM62" s="13"/>
    </row>
    <row r="63" spans="1:39" ht="19.5" customHeight="1" x14ac:dyDescent="0.2">
      <c r="A63" s="308" t="s">
        <v>124</v>
      </c>
      <c r="B63" s="309"/>
      <c r="C63" s="310"/>
      <c r="D63" s="308" t="s">
        <v>6</v>
      </c>
      <c r="E63" s="309"/>
      <c r="F63" s="310"/>
      <c r="G63" s="324" t="s">
        <v>125</v>
      </c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65" t="s">
        <v>18</v>
      </c>
      <c r="T63" s="27"/>
      <c r="U63" s="28"/>
      <c r="V63" s="330" t="s">
        <v>147</v>
      </c>
      <c r="W63" s="331"/>
      <c r="X63" s="331"/>
      <c r="Y63" s="331"/>
      <c r="Z63" s="58"/>
      <c r="AA63" s="48" t="s">
        <v>59</v>
      </c>
      <c r="AB63" s="55"/>
      <c r="AC63" s="31" t="s">
        <v>39</v>
      </c>
      <c r="AD63" s="51"/>
      <c r="AE63" s="12" t="s">
        <v>44</v>
      </c>
      <c r="AF63" s="7"/>
      <c r="AG63" s="12" t="s">
        <v>44</v>
      </c>
      <c r="AH63" s="51"/>
      <c r="AI63" s="68">
        <f>ROUNDDOWN((AF21/5*2),0)</f>
        <v>0</v>
      </c>
      <c r="AJ63" s="12" t="s">
        <v>44</v>
      </c>
      <c r="AK63" s="51"/>
      <c r="AL63" s="13"/>
      <c r="AM63" s="13"/>
    </row>
    <row r="64" spans="1:39" ht="19.5" customHeight="1" x14ac:dyDescent="0.2">
      <c r="A64" s="325"/>
      <c r="B64" s="317"/>
      <c r="C64" s="318"/>
      <c r="D64" s="325"/>
      <c r="E64" s="317"/>
      <c r="F64" s="318"/>
      <c r="G64" s="38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27"/>
      <c r="T64" s="3"/>
      <c r="U64" s="28"/>
      <c r="V64" s="330" t="s">
        <v>148</v>
      </c>
      <c r="W64" s="331"/>
      <c r="X64" s="331"/>
      <c r="Y64" s="331"/>
      <c r="Z64" s="58"/>
      <c r="AA64" s="48" t="s">
        <v>77</v>
      </c>
      <c r="AB64" s="30"/>
      <c r="AC64" s="31" t="s">
        <v>39</v>
      </c>
      <c r="AD64" s="51"/>
      <c r="AE64" s="12" t="s">
        <v>44</v>
      </c>
      <c r="AF64" s="7"/>
      <c r="AG64" s="12" t="s">
        <v>44</v>
      </c>
      <c r="AH64" s="51"/>
      <c r="AI64" s="3"/>
      <c r="AJ64" s="12" t="s">
        <v>44</v>
      </c>
      <c r="AK64" s="51"/>
      <c r="AL64" s="13"/>
      <c r="AM64" s="13"/>
    </row>
    <row r="65" spans="1:39" ht="19.5" customHeight="1" x14ac:dyDescent="0.2">
      <c r="A65" s="332"/>
      <c r="B65" s="320"/>
      <c r="C65" s="321"/>
      <c r="D65" s="332"/>
      <c r="E65" s="320"/>
      <c r="F65" s="321"/>
      <c r="G65" s="329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8"/>
      <c r="U65" s="28"/>
      <c r="V65" s="330" t="s">
        <v>149</v>
      </c>
      <c r="W65" s="331"/>
      <c r="X65" s="331"/>
      <c r="Y65" s="331"/>
      <c r="Z65" s="58"/>
      <c r="AA65" s="48" t="s">
        <v>38</v>
      </c>
      <c r="AB65" s="30"/>
      <c r="AC65" s="31" t="s">
        <v>39</v>
      </c>
      <c r="AD65" s="51"/>
      <c r="AE65" s="12" t="s">
        <v>44</v>
      </c>
      <c r="AF65" s="7"/>
      <c r="AG65" s="12" t="s">
        <v>44</v>
      </c>
      <c r="AH65" s="51"/>
      <c r="AI65" s="3"/>
      <c r="AJ65" s="12" t="s">
        <v>44</v>
      </c>
      <c r="AK65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65" s="13"/>
      <c r="AM65" s="13"/>
    </row>
    <row r="66" spans="1:39" ht="19.5" customHeight="1" x14ac:dyDescent="0.2">
      <c r="A66" s="303" t="s">
        <v>130</v>
      </c>
      <c r="B66" s="304"/>
      <c r="C66" s="333"/>
      <c r="D66" s="396"/>
      <c r="E66" s="397"/>
      <c r="F66" s="398"/>
      <c r="G66" s="295"/>
      <c r="H66" s="399"/>
      <c r="I66" s="398"/>
      <c r="J66" s="400"/>
      <c r="K66" s="401"/>
      <c r="L66" s="35"/>
      <c r="M66" s="35"/>
      <c r="N66" s="35"/>
      <c r="O66" s="35"/>
      <c r="P66" s="35"/>
      <c r="Q66" s="35"/>
      <c r="R66" s="35"/>
      <c r="S66" s="297"/>
      <c r="U66" s="293"/>
      <c r="V66" s="386" t="s">
        <v>150</v>
      </c>
      <c r="W66" s="331"/>
      <c r="X66" s="331"/>
      <c r="Y66" s="331"/>
      <c r="Z66" s="58"/>
      <c r="AA66" s="48" t="s">
        <v>77</v>
      </c>
      <c r="AB66" s="30"/>
      <c r="AC66" s="31" t="s">
        <v>39</v>
      </c>
      <c r="AD66" s="51"/>
      <c r="AE66" s="12" t="s">
        <v>44</v>
      </c>
      <c r="AF66" s="7"/>
      <c r="AG66" s="12" t="s">
        <v>44</v>
      </c>
      <c r="AH66" s="51"/>
      <c r="AI66" s="3">
        <f>ROUNDDOWN((AF28/5*2),0)+ROUNDDOWN((AF29/5*2),0)</f>
        <v>0</v>
      </c>
      <c r="AJ66" s="12" t="s">
        <v>44</v>
      </c>
      <c r="AK66" s="51"/>
      <c r="AL66" s="13"/>
      <c r="AM66" s="13"/>
    </row>
    <row r="67" spans="1:39" ht="19.5" customHeight="1" x14ac:dyDescent="0.2">
      <c r="A67" s="31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"/>
      <c r="U67" s="28"/>
      <c r="V67" s="386" t="s">
        <v>151</v>
      </c>
      <c r="W67" s="331"/>
      <c r="X67" s="331"/>
      <c r="Y67" s="331"/>
      <c r="Z67" s="58"/>
      <c r="AA67" s="48" t="s">
        <v>42</v>
      </c>
      <c r="AB67" s="30"/>
      <c r="AC67" s="31" t="s">
        <v>39</v>
      </c>
      <c r="AD67" s="51"/>
      <c r="AE67" s="12" t="s">
        <v>44</v>
      </c>
      <c r="AF67" s="7"/>
      <c r="AG67" s="12" t="s">
        <v>44</v>
      </c>
      <c r="AH67" s="51"/>
      <c r="AI67" s="3">
        <f>ROUNDDOWN((AF34/5*2),0)</f>
        <v>0</v>
      </c>
      <c r="AJ67" s="12" t="s">
        <v>44</v>
      </c>
      <c r="AK67" s="51"/>
      <c r="AL67" s="13"/>
      <c r="AM67" s="13"/>
    </row>
    <row r="68" spans="1:39" ht="19.5" customHeight="1" x14ac:dyDescent="0.2">
      <c r="A68" s="306"/>
      <c r="B68" s="307"/>
      <c r="C68" s="307"/>
      <c r="D68" s="307"/>
      <c r="E68" s="307"/>
      <c r="F68" s="307"/>
      <c r="G68" s="1"/>
      <c r="H68" s="1"/>
      <c r="I68" s="1"/>
      <c r="Q68" s="1"/>
      <c r="T68" s="3"/>
      <c r="U68" s="28"/>
      <c r="V68" s="386" t="s">
        <v>152</v>
      </c>
      <c r="W68" s="331"/>
      <c r="X68" s="331"/>
      <c r="Y68" s="331"/>
      <c r="Z68" s="58"/>
      <c r="AA68" s="48" t="s">
        <v>153</v>
      </c>
      <c r="AB68" s="30"/>
      <c r="AC68" s="31" t="s">
        <v>39</v>
      </c>
      <c r="AD68" s="51"/>
      <c r="AE68" s="12" t="s">
        <v>44</v>
      </c>
      <c r="AF68" s="7"/>
      <c r="AG68" s="12" t="s">
        <v>44</v>
      </c>
      <c r="AH68" s="51"/>
      <c r="AI68" s="3"/>
      <c r="AJ68" s="12" t="s">
        <v>44</v>
      </c>
      <c r="AK68" s="51"/>
      <c r="AL68" s="13"/>
      <c r="AM68" s="13"/>
    </row>
    <row r="69" spans="1:39" ht="31.5" customHeight="1" x14ac:dyDescent="0.25">
      <c r="A69" s="314" t="s">
        <v>117</v>
      </c>
      <c r="B69" s="312"/>
      <c r="C69" s="312"/>
      <c r="D69" s="312"/>
      <c r="E69" s="312"/>
      <c r="F69" s="315"/>
      <c r="G69" s="308" t="s">
        <v>118</v>
      </c>
      <c r="H69" s="309"/>
      <c r="I69" s="310"/>
      <c r="J69" s="311" t="s">
        <v>119</v>
      </c>
      <c r="K69" s="312"/>
      <c r="L69" s="312"/>
      <c r="M69" s="312"/>
      <c r="N69" s="312"/>
      <c r="O69" s="313" t="s">
        <v>120</v>
      </c>
      <c r="P69" s="312"/>
      <c r="Q69" s="312"/>
      <c r="R69" s="312"/>
      <c r="S69" s="312"/>
      <c r="T69" s="3"/>
      <c r="U69" s="13"/>
      <c r="V69" s="69"/>
      <c r="W69" s="69"/>
      <c r="X69" s="69"/>
      <c r="Y69" s="69"/>
      <c r="Z69" s="13"/>
      <c r="AA69" s="13"/>
      <c r="AB69" s="13"/>
      <c r="AC69" s="13"/>
      <c r="AD69" s="13"/>
      <c r="AE69" s="13"/>
      <c r="AF69" s="13"/>
      <c r="AG69" s="13"/>
      <c r="AH69" s="13"/>
      <c r="AI69" s="70"/>
      <c r="AJ69" s="71"/>
      <c r="AK69" s="72"/>
      <c r="AL69" s="13"/>
      <c r="AM69" s="13"/>
    </row>
    <row r="70" spans="1:39" ht="19.5" customHeight="1" x14ac:dyDescent="0.2">
      <c r="A70" s="316"/>
      <c r="B70" s="317"/>
      <c r="C70" s="317"/>
      <c r="D70" s="317"/>
      <c r="E70" s="317"/>
      <c r="F70" s="318"/>
      <c r="G70" s="322"/>
      <c r="H70" s="317"/>
      <c r="I70" s="318"/>
      <c r="J70" s="323"/>
      <c r="K70" s="317"/>
      <c r="L70" s="317"/>
      <c r="M70" s="317"/>
      <c r="N70" s="318"/>
      <c r="O70" s="316"/>
      <c r="P70" s="317"/>
      <c r="Q70" s="317"/>
      <c r="R70" s="317"/>
      <c r="S70" s="318"/>
      <c r="T70" s="31"/>
      <c r="U70" s="36"/>
      <c r="V70" s="36"/>
      <c r="W70" s="36"/>
      <c r="X70" s="36"/>
      <c r="Y70" s="36"/>
      <c r="Z70" s="36"/>
      <c r="AA70" s="36"/>
      <c r="AB70" s="8" t="s">
        <v>78</v>
      </c>
      <c r="AC70" s="8">
        <v>0</v>
      </c>
      <c r="AD70" s="403" t="s">
        <v>689</v>
      </c>
      <c r="AE70" s="403"/>
      <c r="AF70" s="403"/>
      <c r="AG70" s="36"/>
      <c r="AH70" s="291">
        <v>0</v>
      </c>
      <c r="AI70" s="73"/>
      <c r="AJ70" s="72"/>
      <c r="AK70" s="72"/>
      <c r="AL70" s="13"/>
      <c r="AM70" s="13"/>
    </row>
    <row r="71" spans="1:39" ht="19.5" customHeight="1" x14ac:dyDescent="0.25">
      <c r="A71" s="319"/>
      <c r="B71" s="320"/>
      <c r="C71" s="320"/>
      <c r="D71" s="320"/>
      <c r="E71" s="320"/>
      <c r="F71" s="321"/>
      <c r="G71" s="319"/>
      <c r="H71" s="320"/>
      <c r="I71" s="321"/>
      <c r="J71" s="319"/>
      <c r="K71" s="320"/>
      <c r="L71" s="320"/>
      <c r="M71" s="320"/>
      <c r="N71" s="321"/>
      <c r="O71" s="319"/>
      <c r="P71" s="320"/>
      <c r="Q71" s="320"/>
      <c r="R71" s="320"/>
      <c r="S71" s="321"/>
      <c r="T71" s="31"/>
      <c r="U71" s="272"/>
      <c r="V71" s="273"/>
      <c r="W71" s="273"/>
      <c r="X71" s="273"/>
      <c r="Y71" s="273"/>
      <c r="Z71" s="273"/>
      <c r="AA71" s="272"/>
      <c r="AB71" s="273"/>
      <c r="AC71" s="273"/>
      <c r="AD71" s="273"/>
      <c r="AE71" s="273"/>
      <c r="AF71" s="274"/>
      <c r="AG71" s="275"/>
      <c r="AH71" s="276"/>
      <c r="AI71" s="74"/>
      <c r="AJ71" s="74"/>
      <c r="AK71" s="74"/>
      <c r="AL71" s="74"/>
      <c r="AM71" s="13"/>
    </row>
    <row r="72" spans="1:39" ht="19.5" customHeight="1" x14ac:dyDescent="0.2">
      <c r="A72" s="308" t="s">
        <v>124</v>
      </c>
      <c r="B72" s="309"/>
      <c r="C72" s="310"/>
      <c r="D72" s="308" t="s">
        <v>6</v>
      </c>
      <c r="E72" s="309"/>
      <c r="F72" s="310"/>
      <c r="G72" s="324" t="s">
        <v>125</v>
      </c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65" t="s">
        <v>18</v>
      </c>
      <c r="T72" s="3"/>
      <c r="U72" s="277"/>
      <c r="V72" s="388"/>
      <c r="W72" s="389"/>
      <c r="X72" s="389"/>
      <c r="Y72" s="389"/>
      <c r="Z72" s="389"/>
      <c r="AA72" s="278"/>
      <c r="AB72" s="270"/>
      <c r="AC72" s="279"/>
      <c r="AD72" s="280"/>
      <c r="AE72" s="281"/>
      <c r="AF72" s="274"/>
      <c r="AG72" s="281"/>
      <c r="AH72" s="280"/>
      <c r="AI72" s="73">
        <f>ROUNDDOWN((AF53/5*2),0)</f>
        <v>0</v>
      </c>
      <c r="AJ72" s="72"/>
      <c r="AK72" s="72"/>
      <c r="AL72" s="13"/>
      <c r="AM72" s="13"/>
    </row>
    <row r="73" spans="1:39" ht="19.5" customHeight="1" x14ac:dyDescent="0.2">
      <c r="A73" s="325"/>
      <c r="B73" s="317"/>
      <c r="C73" s="318"/>
      <c r="D73" s="325"/>
      <c r="E73" s="317"/>
      <c r="F73" s="318"/>
      <c r="G73" s="326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27"/>
      <c r="T73" s="31"/>
      <c r="U73" s="277"/>
      <c r="V73" s="390"/>
      <c r="W73" s="389"/>
      <c r="X73" s="389"/>
      <c r="Y73" s="389"/>
      <c r="Z73" s="278"/>
      <c r="AA73" s="278"/>
      <c r="AB73" s="270"/>
      <c r="AC73" s="279"/>
      <c r="AD73" s="280"/>
      <c r="AE73" s="281"/>
      <c r="AF73" s="274"/>
      <c r="AG73" s="281"/>
      <c r="AH73" s="280"/>
      <c r="AI73" s="73">
        <f>ROUNDDOWN((AF58/5*2),0)</f>
        <v>0</v>
      </c>
      <c r="AJ73" s="72"/>
      <c r="AK73" s="72"/>
      <c r="AL73" s="13"/>
      <c r="AM73" s="13"/>
    </row>
    <row r="74" spans="1:39" ht="19.5" customHeight="1" x14ac:dyDescent="0.2">
      <c r="A74" s="332"/>
      <c r="B74" s="320"/>
      <c r="C74" s="321"/>
      <c r="D74" s="332"/>
      <c r="E74" s="320"/>
      <c r="F74" s="321"/>
      <c r="G74" s="329"/>
      <c r="H74" s="320"/>
      <c r="I74" s="320"/>
      <c r="J74" s="320"/>
      <c r="K74" s="320"/>
      <c r="L74" s="320"/>
      <c r="M74" s="320"/>
      <c r="N74" s="320"/>
      <c r="O74" s="320"/>
      <c r="P74" s="320"/>
      <c r="Q74" s="320"/>
      <c r="R74" s="320"/>
      <c r="S74" s="328"/>
      <c r="T74" s="31"/>
      <c r="U74" s="277"/>
      <c r="V74" s="389"/>
      <c r="W74" s="391"/>
      <c r="X74" s="391"/>
      <c r="Y74" s="391"/>
      <c r="Z74" s="278"/>
      <c r="AA74" s="273"/>
      <c r="AB74" s="283"/>
      <c r="AC74" s="283"/>
      <c r="AD74" s="283"/>
      <c r="AE74" s="284"/>
      <c r="AF74" s="283"/>
      <c r="AG74" s="278"/>
      <c r="AH74" s="273"/>
      <c r="AI74" s="73"/>
      <c r="AJ74" s="72"/>
      <c r="AK74" s="72"/>
      <c r="AL74" s="13"/>
      <c r="AM74" s="13"/>
    </row>
    <row r="75" spans="1:39" ht="19.5" customHeight="1" x14ac:dyDescent="0.2">
      <c r="A75" s="303" t="s">
        <v>130</v>
      </c>
      <c r="B75" s="304"/>
      <c r="C75" s="333"/>
      <c r="D75" s="396"/>
      <c r="E75" s="397"/>
      <c r="F75" s="398"/>
      <c r="G75" s="295"/>
      <c r="H75" s="399"/>
      <c r="I75" s="398"/>
      <c r="J75" s="400"/>
      <c r="K75" s="401"/>
      <c r="L75" s="35"/>
      <c r="M75" s="35"/>
      <c r="N75" s="35"/>
      <c r="O75" s="35"/>
      <c r="P75" s="35"/>
      <c r="Q75" s="35"/>
      <c r="R75" s="35"/>
      <c r="S75" s="296"/>
      <c r="T75" s="3"/>
      <c r="U75" s="285"/>
      <c r="V75" s="404"/>
      <c r="W75" s="391"/>
      <c r="X75" s="391"/>
      <c r="Y75" s="391"/>
      <c r="Z75" s="286"/>
      <c r="AA75" s="287"/>
      <c r="AB75" s="270"/>
      <c r="AC75" s="279"/>
      <c r="AD75" s="280"/>
      <c r="AE75" s="281"/>
      <c r="AF75" s="280"/>
      <c r="AG75" s="281"/>
      <c r="AH75" s="280"/>
      <c r="AI75" s="70"/>
      <c r="AJ75" s="72"/>
      <c r="AK75" s="72"/>
      <c r="AL75" s="13"/>
      <c r="AM75" s="13"/>
    </row>
    <row r="76" spans="1:39" ht="19.5" customHeight="1" x14ac:dyDescent="0.2">
      <c r="A76" s="31"/>
      <c r="D76" s="36"/>
      <c r="E76" s="36" t="s">
        <v>0</v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94"/>
      <c r="T76" s="3"/>
      <c r="U76" s="277"/>
      <c r="V76" s="388"/>
      <c r="W76" s="389"/>
      <c r="X76" s="389"/>
      <c r="Y76" s="389"/>
      <c r="Z76" s="288"/>
      <c r="AA76" s="278"/>
      <c r="AB76" s="270"/>
      <c r="AC76" s="279"/>
      <c r="AD76" s="280"/>
      <c r="AE76" s="281"/>
      <c r="AF76" s="274"/>
      <c r="AG76" s="281"/>
      <c r="AH76" s="280"/>
      <c r="AI76" s="73">
        <f>ROUNDDOWN((AF64/5*2),0)</f>
        <v>0</v>
      </c>
      <c r="AJ76" s="72"/>
      <c r="AK76" s="72"/>
      <c r="AL76" s="13"/>
      <c r="AM76" s="13"/>
    </row>
    <row r="77" spans="1:39" ht="19.5" customHeight="1" x14ac:dyDescent="0.2">
      <c r="A77" s="306"/>
      <c r="B77" s="307"/>
      <c r="C77" s="307"/>
      <c r="D77" s="307"/>
      <c r="E77" s="307"/>
      <c r="F77" s="307"/>
      <c r="G77" s="1"/>
      <c r="H77" s="1"/>
      <c r="I77" s="1"/>
      <c r="Q77" s="1"/>
      <c r="T77" s="3"/>
      <c r="U77" s="75"/>
      <c r="V77" s="75"/>
      <c r="W77" s="75"/>
      <c r="X77" s="75"/>
      <c r="Y77" s="75"/>
      <c r="Z77" s="75"/>
      <c r="AA77" s="72"/>
      <c r="AB77" s="76"/>
      <c r="AC77" s="76"/>
      <c r="AD77" s="76"/>
      <c r="AE77" s="76"/>
      <c r="AF77" s="76"/>
      <c r="AG77" s="72"/>
      <c r="AH77" s="72"/>
      <c r="AI77" s="72"/>
      <c r="AJ77" s="72"/>
      <c r="AK77" s="72"/>
    </row>
    <row r="78" spans="1:39" ht="19.5" customHeight="1" x14ac:dyDescent="0.25">
      <c r="A78" s="314" t="s">
        <v>117</v>
      </c>
      <c r="B78" s="312"/>
      <c r="C78" s="312"/>
      <c r="D78" s="312"/>
      <c r="E78" s="312"/>
      <c r="F78" s="315"/>
      <c r="G78" s="308" t="s">
        <v>118</v>
      </c>
      <c r="H78" s="309"/>
      <c r="I78" s="310"/>
      <c r="J78" s="311" t="s">
        <v>119</v>
      </c>
      <c r="K78" s="312"/>
      <c r="L78" s="312"/>
      <c r="M78" s="312"/>
      <c r="N78" s="312"/>
      <c r="O78" s="313" t="s">
        <v>120</v>
      </c>
      <c r="P78" s="312"/>
      <c r="Q78" s="312"/>
      <c r="R78" s="312"/>
      <c r="S78" s="312"/>
      <c r="T78" s="3"/>
      <c r="U78" s="75"/>
      <c r="V78" s="75"/>
      <c r="W78" s="75"/>
      <c r="X78" s="75"/>
      <c r="Y78" s="75"/>
      <c r="Z78" s="75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</row>
    <row r="79" spans="1:39" ht="19.5" customHeight="1" x14ac:dyDescent="0.2">
      <c r="A79" s="316"/>
      <c r="B79" s="317"/>
      <c r="C79" s="317"/>
      <c r="D79" s="317"/>
      <c r="E79" s="317"/>
      <c r="F79" s="318"/>
      <c r="G79" s="322"/>
      <c r="H79" s="317"/>
      <c r="I79" s="318"/>
      <c r="J79" s="323"/>
      <c r="K79" s="317"/>
      <c r="L79" s="317"/>
      <c r="M79" s="317"/>
      <c r="N79" s="318"/>
      <c r="O79" s="316"/>
      <c r="P79" s="317"/>
      <c r="Q79" s="317"/>
      <c r="R79" s="317"/>
      <c r="S79" s="318"/>
      <c r="T79" s="31"/>
      <c r="U79" s="72"/>
      <c r="V79" s="72"/>
      <c r="W79" s="72"/>
      <c r="X79" s="72"/>
      <c r="Y79" s="72"/>
      <c r="Z79" s="72"/>
      <c r="AA79" s="72"/>
      <c r="AB79" s="77"/>
      <c r="AC79" s="72"/>
      <c r="AD79" s="77"/>
      <c r="AE79" s="72"/>
      <c r="AF79" s="77"/>
      <c r="AG79" s="72"/>
      <c r="AH79" s="77"/>
      <c r="AI79" s="72"/>
      <c r="AJ79" s="76"/>
      <c r="AK79" s="76"/>
    </row>
    <row r="80" spans="1:39" ht="19.5" customHeight="1" x14ac:dyDescent="0.2">
      <c r="A80" s="319"/>
      <c r="B80" s="320"/>
      <c r="C80" s="320"/>
      <c r="D80" s="320"/>
      <c r="E80" s="320"/>
      <c r="F80" s="321"/>
      <c r="G80" s="319"/>
      <c r="H80" s="320"/>
      <c r="I80" s="321"/>
      <c r="J80" s="319"/>
      <c r="K80" s="320"/>
      <c r="L80" s="320"/>
      <c r="M80" s="320"/>
      <c r="N80" s="321"/>
      <c r="O80" s="319"/>
      <c r="P80" s="320"/>
      <c r="Q80" s="320"/>
      <c r="R80" s="320"/>
      <c r="S80" s="321"/>
      <c r="T80" s="31"/>
      <c r="U80" s="392"/>
      <c r="V80" s="393"/>
      <c r="W80" s="393"/>
      <c r="X80" s="393"/>
      <c r="Y80" s="393"/>
      <c r="Z80" s="393"/>
      <c r="AA80" s="393"/>
      <c r="AB80" s="393"/>
      <c r="AC80" s="393"/>
      <c r="AD80" s="393"/>
      <c r="AE80" s="393"/>
      <c r="AF80" s="393"/>
      <c r="AG80" s="393"/>
      <c r="AH80" s="393"/>
      <c r="AI80" s="393"/>
      <c r="AJ80" s="76"/>
      <c r="AK80" s="76"/>
    </row>
    <row r="81" spans="1:37" ht="19.5" customHeight="1" x14ac:dyDescent="0.2">
      <c r="A81" s="308" t="s">
        <v>124</v>
      </c>
      <c r="B81" s="309"/>
      <c r="C81" s="310"/>
      <c r="D81" s="308" t="s">
        <v>6</v>
      </c>
      <c r="E81" s="309"/>
      <c r="F81" s="310"/>
      <c r="G81" s="324" t="s">
        <v>125</v>
      </c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65" t="s">
        <v>18</v>
      </c>
      <c r="T81" s="3"/>
      <c r="U81" s="394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76"/>
      <c r="AK81" s="76"/>
    </row>
    <row r="82" spans="1:37" ht="19.5" customHeight="1" x14ac:dyDescent="0.2">
      <c r="A82" s="325"/>
      <c r="B82" s="317"/>
      <c r="C82" s="318"/>
      <c r="D82" s="325"/>
      <c r="E82" s="317"/>
      <c r="F82" s="318"/>
      <c r="G82" s="326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27"/>
      <c r="T82" s="31"/>
      <c r="U82" s="395"/>
      <c r="V82" s="393"/>
      <c r="W82" s="393"/>
      <c r="X82" s="393"/>
      <c r="Y82" s="393"/>
      <c r="Z82" s="393"/>
      <c r="AA82" s="393"/>
      <c r="AB82" s="393"/>
      <c r="AC82" s="393"/>
      <c r="AD82" s="393"/>
      <c r="AE82" s="393"/>
      <c r="AF82" s="393"/>
      <c r="AG82" s="393"/>
      <c r="AH82" s="393"/>
      <c r="AI82" s="393"/>
      <c r="AJ82" s="72"/>
      <c r="AK82" s="76"/>
    </row>
    <row r="83" spans="1:37" ht="19.5" customHeight="1" x14ac:dyDescent="0.2">
      <c r="A83" s="332"/>
      <c r="B83" s="320"/>
      <c r="C83" s="321"/>
      <c r="D83" s="332"/>
      <c r="E83" s="320"/>
      <c r="F83" s="321"/>
      <c r="G83" s="329"/>
      <c r="H83" s="320"/>
      <c r="I83" s="320"/>
      <c r="J83" s="320"/>
      <c r="K83" s="320"/>
      <c r="L83" s="320"/>
      <c r="M83" s="320"/>
      <c r="N83" s="320"/>
      <c r="O83" s="320"/>
      <c r="P83" s="320"/>
      <c r="Q83" s="320"/>
      <c r="R83" s="320"/>
      <c r="S83" s="328"/>
      <c r="T83" s="31"/>
      <c r="U83" s="394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72"/>
      <c r="AK83" s="76"/>
    </row>
    <row r="84" spans="1:37" ht="19.5" customHeight="1" x14ac:dyDescent="0.2">
      <c r="A84" s="303" t="s">
        <v>130</v>
      </c>
      <c r="B84" s="304"/>
      <c r="C84" s="333"/>
      <c r="D84" s="396"/>
      <c r="E84" s="397"/>
      <c r="F84" s="398"/>
      <c r="G84" s="295"/>
      <c r="H84" s="399"/>
      <c r="I84" s="398"/>
      <c r="J84" s="400"/>
      <c r="K84" s="401"/>
      <c r="L84" s="35"/>
      <c r="M84" s="35"/>
      <c r="N84" s="35"/>
      <c r="O84" s="35"/>
      <c r="P84" s="35"/>
      <c r="Q84" s="35"/>
      <c r="R84" s="35"/>
      <c r="S84" s="297"/>
      <c r="T84" s="3"/>
      <c r="U84" s="394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72"/>
      <c r="AK84" s="76"/>
    </row>
    <row r="85" spans="1:37" ht="19.5" customHeight="1" x14ac:dyDescent="0.2">
      <c r="A85" s="31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"/>
      <c r="U85" s="394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72"/>
      <c r="AK85" s="76"/>
    </row>
    <row r="86" spans="1:37" ht="19.5" customHeight="1" x14ac:dyDescent="0.2">
      <c r="A86" s="31"/>
      <c r="T86" s="3"/>
      <c r="U86" s="394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72"/>
      <c r="AK86" s="76"/>
    </row>
    <row r="87" spans="1:37" ht="19.5" customHeight="1" x14ac:dyDescent="0.2">
      <c r="A87" s="306"/>
      <c r="B87" s="307"/>
      <c r="C87" s="307"/>
      <c r="D87" s="307"/>
      <c r="E87" s="307"/>
      <c r="F87" s="307"/>
      <c r="G87" s="1"/>
      <c r="H87" s="1"/>
      <c r="I87" s="1"/>
      <c r="Q87" s="1"/>
      <c r="T87" s="3"/>
      <c r="U87" s="394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72"/>
      <c r="AK87" s="76"/>
    </row>
    <row r="88" spans="1:37" ht="19.5" customHeight="1" x14ac:dyDescent="0.25">
      <c r="A88" s="314" t="s">
        <v>117</v>
      </c>
      <c r="B88" s="312"/>
      <c r="C88" s="312"/>
      <c r="D88" s="312"/>
      <c r="E88" s="312"/>
      <c r="F88" s="315"/>
      <c r="G88" s="308" t="s">
        <v>118</v>
      </c>
      <c r="H88" s="309"/>
      <c r="I88" s="310"/>
      <c r="J88" s="311" t="s">
        <v>119</v>
      </c>
      <c r="K88" s="312"/>
      <c r="L88" s="312"/>
      <c r="M88" s="312"/>
      <c r="N88" s="312"/>
      <c r="O88" s="313" t="s">
        <v>120</v>
      </c>
      <c r="P88" s="312"/>
      <c r="Q88" s="312"/>
      <c r="R88" s="312"/>
      <c r="S88" s="312"/>
      <c r="T88" s="3"/>
      <c r="U88" s="394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72"/>
      <c r="AK88" s="76"/>
    </row>
    <row r="89" spans="1:37" ht="19.5" customHeight="1" x14ac:dyDescent="0.2">
      <c r="A89" s="316"/>
      <c r="B89" s="317"/>
      <c r="C89" s="317"/>
      <c r="D89" s="317"/>
      <c r="E89" s="317"/>
      <c r="F89" s="318"/>
      <c r="G89" s="322"/>
      <c r="H89" s="317"/>
      <c r="I89" s="318"/>
      <c r="J89" s="323"/>
      <c r="K89" s="317"/>
      <c r="L89" s="317"/>
      <c r="M89" s="317"/>
      <c r="N89" s="318"/>
      <c r="O89" s="316"/>
      <c r="P89" s="317"/>
      <c r="Q89" s="317"/>
      <c r="R89" s="317"/>
      <c r="S89" s="318"/>
      <c r="T89" s="31"/>
      <c r="U89" s="394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72"/>
      <c r="AK89" s="76"/>
    </row>
    <row r="90" spans="1:37" ht="19.5" customHeight="1" x14ac:dyDescent="0.2">
      <c r="A90" s="319"/>
      <c r="B90" s="320"/>
      <c r="C90" s="320"/>
      <c r="D90" s="320"/>
      <c r="E90" s="320"/>
      <c r="F90" s="321"/>
      <c r="G90" s="319"/>
      <c r="H90" s="320"/>
      <c r="I90" s="321"/>
      <c r="J90" s="319"/>
      <c r="K90" s="320"/>
      <c r="L90" s="320"/>
      <c r="M90" s="320"/>
      <c r="N90" s="321"/>
      <c r="O90" s="319"/>
      <c r="P90" s="320"/>
      <c r="Q90" s="320"/>
      <c r="R90" s="320"/>
      <c r="S90" s="321"/>
      <c r="T90" s="31"/>
      <c r="U90" s="394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72"/>
      <c r="AK90" s="76"/>
    </row>
    <row r="91" spans="1:37" ht="19.5" customHeight="1" x14ac:dyDescent="0.2">
      <c r="A91" s="308" t="s">
        <v>124</v>
      </c>
      <c r="B91" s="309"/>
      <c r="C91" s="310"/>
      <c r="D91" s="308" t="s">
        <v>6</v>
      </c>
      <c r="E91" s="309"/>
      <c r="F91" s="310"/>
      <c r="G91" s="324" t="s">
        <v>125</v>
      </c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65" t="s">
        <v>18</v>
      </c>
      <c r="T91" s="3"/>
      <c r="U91" s="394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72"/>
      <c r="AK91" s="76"/>
    </row>
    <row r="92" spans="1:37" ht="19.5" customHeight="1" x14ac:dyDescent="0.2">
      <c r="A92" s="325"/>
      <c r="B92" s="317"/>
      <c r="C92" s="318"/>
      <c r="D92" s="325"/>
      <c r="E92" s="317"/>
      <c r="F92" s="318"/>
      <c r="G92" s="326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27">
        <v>0</v>
      </c>
      <c r="T92" s="31"/>
      <c r="U92" s="3"/>
      <c r="V92" s="3"/>
      <c r="W92" s="3"/>
      <c r="X92" s="3"/>
      <c r="Y92" s="3"/>
      <c r="Z92" s="3"/>
      <c r="AA92" s="3"/>
      <c r="AB92" s="2"/>
      <c r="AC92" s="3"/>
      <c r="AD92" s="2"/>
      <c r="AE92" s="3"/>
      <c r="AF92" s="2"/>
      <c r="AG92" s="3"/>
      <c r="AH92" s="2"/>
      <c r="AI92" s="3"/>
    </row>
    <row r="93" spans="1:37" ht="19.5" customHeight="1" x14ac:dyDescent="0.2">
      <c r="A93" s="332"/>
      <c r="B93" s="320"/>
      <c r="C93" s="321"/>
      <c r="D93" s="332"/>
      <c r="E93" s="320"/>
      <c r="F93" s="321"/>
      <c r="G93" s="329"/>
      <c r="H93" s="320"/>
      <c r="I93" s="320"/>
      <c r="J93" s="320"/>
      <c r="K93" s="320"/>
      <c r="L93" s="320"/>
      <c r="M93" s="320"/>
      <c r="N93" s="320"/>
      <c r="O93" s="320"/>
      <c r="P93" s="320"/>
      <c r="Q93" s="320"/>
      <c r="R93" s="320"/>
      <c r="S93" s="328"/>
      <c r="T93" s="31"/>
      <c r="AB93" s="2"/>
      <c r="AD93" s="2"/>
      <c r="AF93" s="2"/>
      <c r="AH93" s="2"/>
    </row>
    <row r="94" spans="1:37" ht="19.5" customHeight="1" x14ac:dyDescent="0.2">
      <c r="A94" s="303" t="s">
        <v>130</v>
      </c>
      <c r="B94" s="304"/>
      <c r="C94" s="333"/>
      <c r="D94" s="396"/>
      <c r="E94" s="397"/>
      <c r="F94" s="398"/>
      <c r="G94" s="295"/>
      <c r="H94" s="399"/>
      <c r="I94" s="398"/>
      <c r="J94" s="400"/>
      <c r="K94" s="401"/>
      <c r="L94" s="35"/>
      <c r="M94" s="35"/>
      <c r="N94" s="35"/>
      <c r="O94" s="35"/>
      <c r="P94" s="35"/>
      <c r="Q94" s="35"/>
      <c r="R94" s="35"/>
      <c r="S94" s="297"/>
      <c r="AB94" s="2"/>
      <c r="AD94" s="2"/>
      <c r="AF94" s="2"/>
      <c r="AH94" s="2"/>
    </row>
    <row r="95" spans="1:37" ht="19.5" customHeight="1" x14ac:dyDescent="0.2">
      <c r="A95" s="31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"/>
      <c r="AB95" s="2"/>
      <c r="AD95" s="2"/>
      <c r="AF95" s="2"/>
      <c r="AH95" s="2"/>
    </row>
    <row r="96" spans="1:37" ht="19.5" customHeight="1" x14ac:dyDescent="0.2">
      <c r="AB96" s="2"/>
      <c r="AD96" s="2"/>
      <c r="AF96" s="2"/>
      <c r="AH96" s="2"/>
    </row>
    <row r="97" spans="28:34" ht="19.5" customHeight="1" x14ac:dyDescent="0.2">
      <c r="AB97" s="2"/>
      <c r="AD97" s="2"/>
      <c r="AF97" s="2"/>
      <c r="AH97" s="2"/>
    </row>
    <row r="98" spans="28:34" ht="19.5" customHeight="1" x14ac:dyDescent="0.2">
      <c r="AB98" s="2"/>
      <c r="AD98" s="2"/>
      <c r="AF98" s="2"/>
      <c r="AH98" s="2"/>
    </row>
    <row r="99" spans="28:34" ht="19.5" customHeight="1" x14ac:dyDescent="0.2">
      <c r="AB99" s="2"/>
      <c r="AD99" s="2"/>
      <c r="AF99" s="2"/>
      <c r="AH99" s="2"/>
    </row>
    <row r="100" spans="28:34" ht="19.5" customHeight="1" x14ac:dyDescent="0.2">
      <c r="AB100" s="2"/>
      <c r="AD100" s="2"/>
      <c r="AF100" s="2"/>
      <c r="AH100" s="2"/>
    </row>
    <row r="101" spans="28:34" ht="19.5" customHeight="1" x14ac:dyDescent="0.2">
      <c r="AB101" s="2"/>
      <c r="AD101" s="2"/>
      <c r="AF101" s="2"/>
      <c r="AH101" s="2"/>
    </row>
    <row r="102" spans="28:34" ht="19.5" customHeight="1" x14ac:dyDescent="0.2">
      <c r="AB102" s="2"/>
      <c r="AD102" s="2"/>
      <c r="AF102" s="2"/>
      <c r="AH102" s="2"/>
    </row>
    <row r="103" spans="28:34" ht="19.5" customHeight="1" x14ac:dyDescent="0.2">
      <c r="AB103" s="2"/>
      <c r="AD103" s="2"/>
      <c r="AF103" s="2"/>
      <c r="AH103" s="2"/>
    </row>
    <row r="104" spans="28:34" ht="12.75" customHeight="1" x14ac:dyDescent="0.2">
      <c r="AB104" s="2"/>
      <c r="AD104" s="2"/>
      <c r="AF104" s="2"/>
      <c r="AH104" s="2"/>
    </row>
    <row r="105" spans="28:34" ht="12.75" customHeight="1" x14ac:dyDescent="0.2">
      <c r="AB105" s="2"/>
      <c r="AD105" s="2"/>
      <c r="AF105" s="2"/>
      <c r="AH105" s="2"/>
    </row>
    <row r="106" spans="28:34" ht="12.75" customHeight="1" x14ac:dyDescent="0.2"/>
    <row r="107" spans="28:34" ht="12.75" customHeight="1" x14ac:dyDescent="0.2"/>
    <row r="108" spans="28:34" ht="12.75" customHeight="1" x14ac:dyDescent="0.2"/>
    <row r="109" spans="28:34" ht="12.75" customHeight="1" x14ac:dyDescent="0.2"/>
    <row r="110" spans="28:34" ht="12.75" customHeight="1" x14ac:dyDescent="0.2"/>
    <row r="111" spans="28:34" ht="12.75" customHeight="1" x14ac:dyDescent="0.2"/>
    <row r="112" spans="28:34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72">
    <mergeCell ref="AF18:AH18"/>
    <mergeCell ref="AD70:AF70"/>
    <mergeCell ref="H75:I75"/>
    <mergeCell ref="D75:F75"/>
    <mergeCell ref="J75:K75"/>
    <mergeCell ref="D84:F84"/>
    <mergeCell ref="H84:I84"/>
    <mergeCell ref="J84:K84"/>
    <mergeCell ref="D66:F66"/>
    <mergeCell ref="H66:I66"/>
    <mergeCell ref="J66:K66"/>
    <mergeCell ref="D57:F57"/>
    <mergeCell ref="H57:I57"/>
    <mergeCell ref="J57:K57"/>
    <mergeCell ref="D48:F48"/>
    <mergeCell ref="H48:I48"/>
    <mergeCell ref="J48:K48"/>
    <mergeCell ref="V75:Y75"/>
    <mergeCell ref="V76:Y76"/>
    <mergeCell ref="G78:I78"/>
    <mergeCell ref="J78:N78"/>
    <mergeCell ref="O78:S78"/>
    <mergeCell ref="G79:I80"/>
    <mergeCell ref="J79:N80"/>
    <mergeCell ref="A93:C93"/>
    <mergeCell ref="A94:C94"/>
    <mergeCell ref="A91:C91"/>
    <mergeCell ref="A92:C92"/>
    <mergeCell ref="D92:F92"/>
    <mergeCell ref="G92:R92"/>
    <mergeCell ref="S92:S93"/>
    <mergeCell ref="D93:F93"/>
    <mergeCell ref="G93:R93"/>
    <mergeCell ref="D94:F94"/>
    <mergeCell ref="H94:I94"/>
    <mergeCell ref="J94:K94"/>
    <mergeCell ref="G70:I71"/>
    <mergeCell ref="J70:N71"/>
    <mergeCell ref="O70:S71"/>
    <mergeCell ref="G72:R72"/>
    <mergeCell ref="A81:C81"/>
    <mergeCell ref="A83:C83"/>
    <mergeCell ref="A82:C82"/>
    <mergeCell ref="A70:F71"/>
    <mergeCell ref="A72:C72"/>
    <mergeCell ref="A73:C73"/>
    <mergeCell ref="A75:C75"/>
    <mergeCell ref="V72:Z72"/>
    <mergeCell ref="S73:S74"/>
    <mergeCell ref="V73:Y74"/>
    <mergeCell ref="O79:S80"/>
    <mergeCell ref="U80:AI81"/>
    <mergeCell ref="D81:F81"/>
    <mergeCell ref="G81:R81"/>
    <mergeCell ref="G82:R82"/>
    <mergeCell ref="S82:S83"/>
    <mergeCell ref="U82:AI91"/>
    <mergeCell ref="G91:R91"/>
    <mergeCell ref="D82:F82"/>
    <mergeCell ref="D72:F72"/>
    <mergeCell ref="D73:F73"/>
    <mergeCell ref="A77:F77"/>
    <mergeCell ref="D83:F83"/>
    <mergeCell ref="G83:R83"/>
    <mergeCell ref="G73:R73"/>
    <mergeCell ref="A74:C74"/>
    <mergeCell ref="D74:F74"/>
    <mergeCell ref="G74:R74"/>
    <mergeCell ref="A84:C84"/>
    <mergeCell ref="A87:F87"/>
    <mergeCell ref="A88:F88"/>
    <mergeCell ref="A89:F90"/>
    <mergeCell ref="D91:F91"/>
    <mergeCell ref="G88:I88"/>
    <mergeCell ref="J88:N88"/>
    <mergeCell ref="O88:S88"/>
    <mergeCell ref="G89:I90"/>
    <mergeCell ref="J89:N90"/>
    <mergeCell ref="O89:S90"/>
    <mergeCell ref="A61:F62"/>
    <mergeCell ref="G61:I62"/>
    <mergeCell ref="J61:N62"/>
    <mergeCell ref="O61:S62"/>
    <mergeCell ref="V61:Y61"/>
    <mergeCell ref="V62:Y62"/>
    <mergeCell ref="V63:Y63"/>
    <mergeCell ref="G63:R63"/>
    <mergeCell ref="G64:R64"/>
    <mergeCell ref="S64:S65"/>
    <mergeCell ref="V64:Y64"/>
    <mergeCell ref="A65:C65"/>
    <mergeCell ref="D65:F65"/>
    <mergeCell ref="G65:R65"/>
    <mergeCell ref="A63:C63"/>
    <mergeCell ref="D63:F63"/>
    <mergeCell ref="A64:C64"/>
    <mergeCell ref="D64:F64"/>
    <mergeCell ref="A66:C66"/>
    <mergeCell ref="A68:F68"/>
    <mergeCell ref="A69:F69"/>
    <mergeCell ref="A78:F78"/>
    <mergeCell ref="A79:F80"/>
    <mergeCell ref="V40:Y40"/>
    <mergeCell ref="V41:Y41"/>
    <mergeCell ref="V42:Y42"/>
    <mergeCell ref="V59:Y59"/>
    <mergeCell ref="V60:Y60"/>
    <mergeCell ref="V65:Y65"/>
    <mergeCell ref="V66:Y66"/>
    <mergeCell ref="V67:Y67"/>
    <mergeCell ref="V68:Y68"/>
    <mergeCell ref="G69:I69"/>
    <mergeCell ref="J69:N69"/>
    <mergeCell ref="O69:S69"/>
    <mergeCell ref="G55:R55"/>
    <mergeCell ref="S55:S56"/>
    <mergeCell ref="G56:R56"/>
    <mergeCell ref="A60:F60"/>
    <mergeCell ref="G60:I60"/>
    <mergeCell ref="J60:N60"/>
    <mergeCell ref="O60:S60"/>
    <mergeCell ref="V30:Y30"/>
    <mergeCell ref="AL60:AM60"/>
    <mergeCell ref="V52:Y52"/>
    <mergeCell ref="V53:Y53"/>
    <mergeCell ref="V54:Y54"/>
    <mergeCell ref="V55:Y55"/>
    <mergeCell ref="V56:Y56"/>
    <mergeCell ref="V57:Y57"/>
    <mergeCell ref="V58:Y58"/>
    <mergeCell ref="V31:Y31"/>
    <mergeCell ref="V32:Y32"/>
    <mergeCell ref="V33:Y33"/>
    <mergeCell ref="V34:Y34"/>
    <mergeCell ref="V35:Y35"/>
    <mergeCell ref="V36:Y36"/>
    <mergeCell ref="V37:Y37"/>
    <mergeCell ref="V38:Y38"/>
    <mergeCell ref="V39:Y39"/>
    <mergeCell ref="V48:Y48"/>
    <mergeCell ref="V49:Y49"/>
    <mergeCell ref="V50:Y50"/>
    <mergeCell ref="V51:Y51"/>
    <mergeCell ref="E23:M23"/>
    <mergeCell ref="X18:Y18"/>
    <mergeCell ref="A24:C24"/>
    <mergeCell ref="Q24:S24"/>
    <mergeCell ref="V24:Z24"/>
    <mergeCell ref="A25:C25"/>
    <mergeCell ref="A27:C27"/>
    <mergeCell ref="A29:C29"/>
    <mergeCell ref="V27:Y27"/>
    <mergeCell ref="V29:Y29"/>
    <mergeCell ref="O11:R11"/>
    <mergeCell ref="O12:R12"/>
    <mergeCell ref="U17:W17"/>
    <mergeCell ref="U18:W18"/>
    <mergeCell ref="V21:W21"/>
    <mergeCell ref="X21:Y21"/>
    <mergeCell ref="V22:W22"/>
    <mergeCell ref="X22:Y22"/>
    <mergeCell ref="Q25:S29"/>
    <mergeCell ref="V28:Y28"/>
    <mergeCell ref="V25:Y25"/>
    <mergeCell ref="V26:Y26"/>
    <mergeCell ref="AB8:AC8"/>
    <mergeCell ref="AB9:AC9"/>
    <mergeCell ref="AB10:AC10"/>
    <mergeCell ref="AB11:AC11"/>
    <mergeCell ref="AB12:AC12"/>
    <mergeCell ref="AA14:AB14"/>
    <mergeCell ref="Y11:Z11"/>
    <mergeCell ref="U12:W12"/>
    <mergeCell ref="Y12:Z12"/>
    <mergeCell ref="T11:W11"/>
    <mergeCell ref="AF14:AH14"/>
    <mergeCell ref="A38:C38"/>
    <mergeCell ref="G38:I38"/>
    <mergeCell ref="A31:I31"/>
    <mergeCell ref="M31:Q31"/>
    <mergeCell ref="G33:I33"/>
    <mergeCell ref="A34:C34"/>
    <mergeCell ref="G34:I34"/>
    <mergeCell ref="A36:C36"/>
    <mergeCell ref="G36:I36"/>
    <mergeCell ref="AA15:AB15"/>
    <mergeCell ref="AC15:AE15"/>
    <mergeCell ref="AF15:AH15"/>
    <mergeCell ref="Z17:AD17"/>
    <mergeCell ref="AE17:AF17"/>
    <mergeCell ref="AG17:AH17"/>
    <mergeCell ref="O18:Q18"/>
    <mergeCell ref="AC18:AD18"/>
    <mergeCell ref="Z18:AA18"/>
    <mergeCell ref="V19:Z19"/>
    <mergeCell ref="K20:M20"/>
    <mergeCell ref="V20:Y20"/>
    <mergeCell ref="V23:W23"/>
    <mergeCell ref="X23:Y23"/>
    <mergeCell ref="S7:U7"/>
    <mergeCell ref="S8:U8"/>
    <mergeCell ref="A10:C10"/>
    <mergeCell ref="A3:C3"/>
    <mergeCell ref="A4:C4"/>
    <mergeCell ref="E4:G4"/>
    <mergeCell ref="O4:Q4"/>
    <mergeCell ref="A5:C5"/>
    <mergeCell ref="O5:Q5"/>
    <mergeCell ref="O6:Q6"/>
    <mergeCell ref="K7:M7"/>
    <mergeCell ref="K8:M8"/>
    <mergeCell ref="A7:C7"/>
    <mergeCell ref="A8:C8"/>
    <mergeCell ref="A9:C9"/>
    <mergeCell ref="A1:I1"/>
    <mergeCell ref="K1:W1"/>
    <mergeCell ref="A2:I2"/>
    <mergeCell ref="K2:W2"/>
    <mergeCell ref="E3:G3"/>
    <mergeCell ref="O3:Q3"/>
    <mergeCell ref="W3:Y3"/>
    <mergeCell ref="K5:M5"/>
    <mergeCell ref="K6:M6"/>
    <mergeCell ref="A6:C6"/>
    <mergeCell ref="S4:U4"/>
    <mergeCell ref="S5:U5"/>
    <mergeCell ref="W5:Y5"/>
    <mergeCell ref="S6:T6"/>
    <mergeCell ref="W6:Z6"/>
    <mergeCell ref="A54:C54"/>
    <mergeCell ref="A55:C55"/>
    <mergeCell ref="D55:F55"/>
    <mergeCell ref="A56:C56"/>
    <mergeCell ref="D56:F56"/>
    <mergeCell ref="A57:C57"/>
    <mergeCell ref="A59:F59"/>
    <mergeCell ref="D54:F54"/>
    <mergeCell ref="G54:R54"/>
    <mergeCell ref="J43:N44"/>
    <mergeCell ref="O43:S44"/>
    <mergeCell ref="V43:Y43"/>
    <mergeCell ref="V44:Y44"/>
    <mergeCell ref="A41:F41"/>
    <mergeCell ref="A42:F42"/>
    <mergeCell ref="G42:I42"/>
    <mergeCell ref="J42:N42"/>
    <mergeCell ref="O42:S42"/>
    <mergeCell ref="A43:F44"/>
    <mergeCell ref="G43:I44"/>
    <mergeCell ref="A45:C45"/>
    <mergeCell ref="D45:F45"/>
    <mergeCell ref="G45:R45"/>
    <mergeCell ref="A46:C46"/>
    <mergeCell ref="D46:F46"/>
    <mergeCell ref="G46:R46"/>
    <mergeCell ref="S46:S47"/>
    <mergeCell ref="G47:R47"/>
    <mergeCell ref="V45:Z45"/>
    <mergeCell ref="V46:Y46"/>
    <mergeCell ref="V47:Y47"/>
    <mergeCell ref="A47:C47"/>
    <mergeCell ref="D47:F47"/>
    <mergeCell ref="A48:C48"/>
    <mergeCell ref="A50:F50"/>
    <mergeCell ref="G51:I51"/>
    <mergeCell ref="J51:N51"/>
    <mergeCell ref="O51:S51"/>
    <mergeCell ref="A51:F51"/>
    <mergeCell ref="A52:F53"/>
    <mergeCell ref="G52:I53"/>
    <mergeCell ref="J52:N53"/>
    <mergeCell ref="O52:S53"/>
  </mergeCells>
  <phoneticPr fontId="40" type="noConversion"/>
  <pageMargins left="0.7" right="0.7" top="0.75" bottom="0.75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Tablas!$B$29:$R$29</xm:f>
          </x14:formula1>
          <xm:sqref>E3</xm:sqref>
        </x14:dataValidation>
        <x14:dataValidation type="list" allowBlank="1" showErrorMessage="1" xr:uid="{00000000-0002-0000-0000-000001000000}">
          <x14:formula1>
            <xm:f>Tablas!$A$59:$A$67</xm:f>
          </x14:formula1>
          <xm:sqref>A5</xm:sqref>
        </x14:dataValidation>
        <x14:dataValidation type="list" allowBlank="1" showErrorMessage="1" xr:uid="{00000000-0002-0000-0000-000002000000}">
          <x14:formula1>
            <xm:f>Tablas!$A$11:$A$27</xm:f>
          </x14:formula1>
          <xm:sqref>A3 A7 K7 S7 A9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A34" workbookViewId="0">
      <selection activeCell="L52" sqref="L52"/>
    </sheetView>
  </sheetViews>
  <sheetFormatPr baseColWidth="10" defaultColWidth="12.5703125" defaultRowHeight="15" customHeight="1" x14ac:dyDescent="0.2"/>
  <cols>
    <col min="1" max="1" width="34.5703125" customWidth="1"/>
    <col min="2" max="3" width="5.5703125" customWidth="1"/>
    <col min="4" max="4" width="36.140625" customWidth="1"/>
    <col min="5" max="6" width="5.5703125" customWidth="1"/>
    <col min="7" max="8" width="17.42578125" customWidth="1"/>
    <col min="9" max="13" width="5.5703125" customWidth="1"/>
    <col min="14" max="34" width="17.42578125" customWidth="1"/>
  </cols>
  <sheetData>
    <row r="1" spans="1:33" ht="19.5" customHeight="1" x14ac:dyDescent="0.2">
      <c r="A1" s="429"/>
      <c r="B1" s="430"/>
      <c r="C1" s="430"/>
      <c r="D1" s="430"/>
      <c r="E1" s="430"/>
      <c r="F1" s="417"/>
      <c r="G1" s="78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80"/>
      <c r="X1" s="79"/>
      <c r="Y1" s="79"/>
    </row>
    <row r="2" spans="1:33" ht="19.5" customHeight="1" x14ac:dyDescent="0.25">
      <c r="A2" s="431" t="s">
        <v>690</v>
      </c>
      <c r="B2" s="432"/>
      <c r="C2" s="432"/>
      <c r="D2" s="432"/>
      <c r="E2" s="432"/>
      <c r="F2" s="433"/>
      <c r="G2" s="78"/>
      <c r="H2" s="79"/>
      <c r="I2" s="79"/>
      <c r="J2" s="76"/>
      <c r="K2" s="76"/>
      <c r="L2" s="76"/>
      <c r="M2" s="76"/>
      <c r="N2" s="79"/>
      <c r="O2" s="413" t="s">
        <v>154</v>
      </c>
      <c r="P2" s="414"/>
      <c r="Q2" s="425"/>
      <c r="R2" s="81" t="s">
        <v>155</v>
      </c>
      <c r="S2" s="421" t="s">
        <v>156</v>
      </c>
      <c r="T2" s="422"/>
      <c r="U2" s="423"/>
      <c r="V2" s="413" t="s">
        <v>157</v>
      </c>
      <c r="W2" s="414"/>
      <c r="X2" s="425"/>
      <c r="Y2" s="413" t="s">
        <v>158</v>
      </c>
      <c r="Z2" s="414"/>
      <c r="AA2" s="425"/>
      <c r="AB2" s="413" t="s">
        <v>159</v>
      </c>
      <c r="AC2" s="414"/>
      <c r="AD2" s="425"/>
      <c r="AE2" s="413" t="s">
        <v>160</v>
      </c>
      <c r="AF2" s="414"/>
      <c r="AG2" s="425"/>
    </row>
    <row r="3" spans="1:33" ht="19.5" customHeight="1" x14ac:dyDescent="0.2">
      <c r="A3" s="82" t="s">
        <v>161</v>
      </c>
      <c r="B3" s="83"/>
      <c r="C3" s="83"/>
      <c r="D3" s="83"/>
      <c r="E3" s="83"/>
      <c r="F3" s="83"/>
      <c r="G3" s="84" t="s">
        <v>162</v>
      </c>
      <c r="H3" s="85" t="s">
        <v>163</v>
      </c>
      <c r="I3" s="79"/>
      <c r="J3" s="434" t="s">
        <v>164</v>
      </c>
      <c r="K3" s="422"/>
      <c r="L3" s="422"/>
      <c r="M3" s="423"/>
      <c r="N3" s="86"/>
      <c r="O3" s="407"/>
      <c r="P3" s="408"/>
      <c r="Q3" s="409"/>
      <c r="R3" s="410" t="s">
        <v>165</v>
      </c>
      <c r="S3" s="405"/>
      <c r="T3" s="317"/>
      <c r="U3" s="318"/>
      <c r="V3" s="406"/>
      <c r="W3" s="317"/>
      <c r="X3" s="318"/>
      <c r="Y3" s="406"/>
      <c r="Z3" s="317"/>
      <c r="AA3" s="318"/>
      <c r="AB3" s="406"/>
      <c r="AC3" s="317"/>
      <c r="AD3" s="318"/>
      <c r="AE3" s="406"/>
      <c r="AF3" s="317"/>
      <c r="AG3" s="318"/>
    </row>
    <row r="4" spans="1:33" ht="19.5" customHeight="1" x14ac:dyDescent="0.2">
      <c r="A4" s="378"/>
      <c r="B4" s="309"/>
      <c r="C4" s="309"/>
      <c r="D4" s="309"/>
      <c r="E4" s="309"/>
      <c r="F4" s="310"/>
      <c r="G4" s="87"/>
      <c r="H4" s="87"/>
      <c r="I4" s="86"/>
      <c r="J4" s="435"/>
      <c r="K4" s="309"/>
      <c r="L4" s="309"/>
      <c r="M4" s="310"/>
      <c r="N4" s="79"/>
      <c r="O4" s="407"/>
      <c r="P4" s="408"/>
      <c r="Q4" s="409"/>
      <c r="R4" s="411"/>
      <c r="S4" s="319"/>
      <c r="T4" s="320"/>
      <c r="U4" s="321"/>
      <c r="V4" s="319"/>
      <c r="W4" s="320"/>
      <c r="X4" s="321"/>
      <c r="Y4" s="319"/>
      <c r="Z4" s="320"/>
      <c r="AA4" s="321"/>
      <c r="AB4" s="319"/>
      <c r="AC4" s="320"/>
      <c r="AD4" s="321"/>
      <c r="AE4" s="319"/>
      <c r="AF4" s="320"/>
      <c r="AG4" s="321"/>
    </row>
    <row r="5" spans="1:33" ht="38.25" customHeight="1" x14ac:dyDescent="0.2">
      <c r="A5" s="437"/>
      <c r="B5" s="432"/>
      <c r="C5" s="432"/>
      <c r="D5" s="432"/>
      <c r="E5" s="432"/>
      <c r="F5" s="433"/>
      <c r="G5" s="302"/>
      <c r="H5" s="90"/>
      <c r="I5" s="79"/>
      <c r="J5" s="90"/>
      <c r="K5" s="90"/>
      <c r="L5" s="90"/>
      <c r="M5" s="90"/>
      <c r="N5" s="79"/>
      <c r="O5" s="407"/>
      <c r="P5" s="408"/>
      <c r="Q5" s="409"/>
      <c r="R5" s="410" t="s">
        <v>166</v>
      </c>
      <c r="S5" s="405"/>
      <c r="T5" s="317"/>
      <c r="U5" s="318"/>
      <c r="V5" s="406"/>
      <c r="W5" s="317"/>
      <c r="X5" s="318"/>
      <c r="Y5" s="406"/>
      <c r="Z5" s="317"/>
      <c r="AA5" s="318"/>
      <c r="AB5" s="406"/>
      <c r="AC5" s="317"/>
      <c r="AD5" s="318"/>
      <c r="AE5" s="406"/>
      <c r="AF5" s="317"/>
      <c r="AG5" s="318"/>
    </row>
    <row r="6" spans="1:33" ht="19.5" customHeight="1" x14ac:dyDescent="0.2">
      <c r="A6" s="79"/>
      <c r="B6" s="79"/>
      <c r="C6" s="79"/>
      <c r="D6" s="79"/>
      <c r="E6" s="79"/>
      <c r="F6" s="79"/>
      <c r="G6" s="79"/>
      <c r="H6" s="79"/>
      <c r="I6" s="79"/>
      <c r="J6" s="436" t="s">
        <v>167</v>
      </c>
      <c r="K6" s="408"/>
      <c r="L6" s="408"/>
      <c r="M6" s="409"/>
      <c r="N6" s="86"/>
      <c r="O6" s="407"/>
      <c r="P6" s="408"/>
      <c r="Q6" s="409"/>
      <c r="R6" s="411"/>
      <c r="S6" s="319"/>
      <c r="T6" s="320"/>
      <c r="U6" s="321"/>
      <c r="V6" s="319"/>
      <c r="W6" s="320"/>
      <c r="X6" s="321"/>
      <c r="Y6" s="319"/>
      <c r="Z6" s="320"/>
      <c r="AA6" s="321"/>
      <c r="AB6" s="319"/>
      <c r="AC6" s="320"/>
      <c r="AD6" s="321"/>
      <c r="AE6" s="319"/>
      <c r="AF6" s="320"/>
      <c r="AG6" s="321"/>
    </row>
    <row r="7" spans="1:33" ht="19.5" customHeight="1" x14ac:dyDescent="0.2">
      <c r="A7" s="438" t="s">
        <v>168</v>
      </c>
      <c r="B7" s="414"/>
      <c r="C7" s="414"/>
      <c r="D7" s="414"/>
      <c r="E7" s="414"/>
      <c r="F7" s="414"/>
      <c r="G7" s="414"/>
      <c r="H7" s="425"/>
      <c r="I7" s="79"/>
      <c r="J7" s="435"/>
      <c r="K7" s="309"/>
      <c r="L7" s="309"/>
      <c r="M7" s="310"/>
      <c r="N7" s="79"/>
      <c r="O7" s="407"/>
      <c r="P7" s="408"/>
      <c r="Q7" s="409"/>
      <c r="R7" s="410" t="s">
        <v>169</v>
      </c>
      <c r="S7" s="405"/>
      <c r="T7" s="317"/>
      <c r="U7" s="318"/>
      <c r="V7" s="406"/>
      <c r="W7" s="317"/>
      <c r="X7" s="318"/>
      <c r="Y7" s="406"/>
      <c r="Z7" s="317"/>
      <c r="AA7" s="318"/>
      <c r="AB7" s="406"/>
      <c r="AC7" s="317"/>
      <c r="AD7" s="318"/>
      <c r="AE7" s="406"/>
      <c r="AF7" s="317"/>
      <c r="AG7" s="318"/>
    </row>
    <row r="8" spans="1:33" ht="19.5" customHeight="1" x14ac:dyDescent="0.2">
      <c r="A8" s="91"/>
      <c r="B8" s="92"/>
      <c r="C8" s="92"/>
      <c r="D8" s="92"/>
      <c r="E8" s="92"/>
      <c r="F8" s="92"/>
      <c r="G8" s="79"/>
      <c r="H8" s="78"/>
      <c r="I8" s="78"/>
      <c r="J8" s="76"/>
      <c r="K8" s="76"/>
      <c r="L8" s="76"/>
      <c r="M8" s="76"/>
      <c r="N8" s="79"/>
      <c r="O8" s="407"/>
      <c r="P8" s="408"/>
      <c r="Q8" s="409"/>
      <c r="R8" s="411"/>
      <c r="S8" s="319"/>
      <c r="T8" s="320"/>
      <c r="U8" s="321"/>
      <c r="V8" s="319"/>
      <c r="W8" s="320"/>
      <c r="X8" s="321"/>
      <c r="Y8" s="319"/>
      <c r="Z8" s="320"/>
      <c r="AA8" s="321"/>
      <c r="AB8" s="319"/>
      <c r="AC8" s="320"/>
      <c r="AD8" s="321"/>
      <c r="AE8" s="319"/>
      <c r="AF8" s="320"/>
      <c r="AG8" s="321"/>
    </row>
    <row r="9" spans="1:33" ht="19.5" customHeight="1" x14ac:dyDescent="0.2">
      <c r="A9" s="434" t="s">
        <v>170</v>
      </c>
      <c r="B9" s="422"/>
      <c r="C9" s="423"/>
      <c r="D9" s="93" t="s">
        <v>171</v>
      </c>
      <c r="E9" s="434" t="s">
        <v>172</v>
      </c>
      <c r="F9" s="422"/>
      <c r="G9" s="423"/>
      <c r="H9" s="93" t="s">
        <v>173</v>
      </c>
      <c r="I9" s="78"/>
      <c r="J9" s="76"/>
      <c r="K9" s="76"/>
      <c r="L9" s="76"/>
      <c r="M9" s="76"/>
      <c r="N9" s="79"/>
      <c r="O9" s="407"/>
      <c r="P9" s="408"/>
      <c r="Q9" s="409"/>
      <c r="R9" s="410" t="s">
        <v>174</v>
      </c>
      <c r="S9" s="405"/>
      <c r="T9" s="317"/>
      <c r="U9" s="318"/>
      <c r="V9" s="406"/>
      <c r="W9" s="317"/>
      <c r="X9" s="318"/>
      <c r="Y9" s="406"/>
      <c r="Z9" s="317"/>
      <c r="AA9" s="318"/>
      <c r="AB9" s="406"/>
      <c r="AC9" s="317"/>
      <c r="AD9" s="318"/>
      <c r="AE9" s="406"/>
      <c r="AF9" s="317"/>
      <c r="AG9" s="318"/>
    </row>
    <row r="10" spans="1:33" ht="19.5" customHeight="1" x14ac:dyDescent="0.2">
      <c r="A10" s="349"/>
      <c r="B10" s="309"/>
      <c r="C10" s="310"/>
      <c r="D10" s="94"/>
      <c r="E10" s="349"/>
      <c r="F10" s="309"/>
      <c r="G10" s="310"/>
      <c r="H10" s="87">
        <v>6</v>
      </c>
      <c r="I10" s="95"/>
      <c r="J10" s="76"/>
      <c r="K10" s="76"/>
      <c r="L10" s="76"/>
      <c r="M10" s="76"/>
      <c r="N10" s="79"/>
      <c r="O10" s="407"/>
      <c r="P10" s="408"/>
      <c r="Q10" s="409"/>
      <c r="R10" s="411"/>
      <c r="S10" s="319"/>
      <c r="T10" s="320"/>
      <c r="U10" s="321"/>
      <c r="V10" s="319"/>
      <c r="W10" s="320"/>
      <c r="X10" s="321"/>
      <c r="Y10" s="319"/>
      <c r="Z10" s="320"/>
      <c r="AA10" s="321"/>
      <c r="AB10" s="319"/>
      <c r="AC10" s="320"/>
      <c r="AD10" s="321"/>
      <c r="AE10" s="319"/>
      <c r="AF10" s="320"/>
      <c r="AG10" s="321"/>
    </row>
    <row r="11" spans="1:33" ht="19.5" customHeight="1" x14ac:dyDescent="0.2">
      <c r="A11" s="96" t="s">
        <v>176</v>
      </c>
      <c r="B11" s="444" t="s">
        <v>177</v>
      </c>
      <c r="C11" s="440"/>
      <c r="D11" s="96" t="s">
        <v>178</v>
      </c>
      <c r="E11" s="441" t="s">
        <v>179</v>
      </c>
      <c r="F11" s="442"/>
      <c r="G11" s="445" t="s">
        <v>180</v>
      </c>
      <c r="H11" s="442"/>
      <c r="I11" s="78"/>
      <c r="J11" s="76"/>
      <c r="K11" s="76"/>
      <c r="L11" s="76"/>
      <c r="M11" s="76"/>
      <c r="N11" s="79"/>
      <c r="O11" s="407"/>
      <c r="P11" s="408"/>
      <c r="Q11" s="409"/>
      <c r="R11" s="410" t="s">
        <v>181</v>
      </c>
      <c r="S11" s="405"/>
      <c r="T11" s="317"/>
      <c r="U11" s="318"/>
      <c r="V11" s="406"/>
      <c r="W11" s="317"/>
      <c r="X11" s="318"/>
      <c r="Y11" s="406"/>
      <c r="Z11" s="317"/>
      <c r="AA11" s="318"/>
      <c r="AB11" s="406"/>
      <c r="AC11" s="317"/>
      <c r="AD11" s="318"/>
      <c r="AE11" s="406"/>
      <c r="AF11" s="317"/>
      <c r="AG11" s="318"/>
    </row>
    <row r="12" spans="1:33" ht="19.5" customHeight="1" x14ac:dyDescent="0.2">
      <c r="A12" s="28"/>
      <c r="B12" s="435"/>
      <c r="C12" s="310"/>
      <c r="D12" s="97"/>
      <c r="E12" s="443"/>
      <c r="F12" s="310"/>
      <c r="G12" s="349"/>
      <c r="H12" s="310"/>
      <c r="I12" s="98"/>
      <c r="J12" s="76"/>
      <c r="K12" s="76"/>
      <c r="L12" s="76"/>
      <c r="M12" s="76"/>
      <c r="N12" s="79"/>
      <c r="O12" s="407"/>
      <c r="P12" s="408"/>
      <c r="Q12" s="409"/>
      <c r="R12" s="411"/>
      <c r="S12" s="319"/>
      <c r="T12" s="320"/>
      <c r="U12" s="321"/>
      <c r="V12" s="319"/>
      <c r="W12" s="320"/>
      <c r="X12" s="321"/>
      <c r="Y12" s="319"/>
      <c r="Z12" s="320"/>
      <c r="AA12" s="321"/>
      <c r="AB12" s="319"/>
      <c r="AC12" s="320"/>
      <c r="AD12" s="321"/>
      <c r="AE12" s="319"/>
      <c r="AF12" s="320"/>
      <c r="AG12" s="321"/>
    </row>
    <row r="13" spans="1:33" ht="19.5" customHeight="1" x14ac:dyDescent="0.2">
      <c r="A13" s="99"/>
      <c r="B13" s="100"/>
      <c r="C13" s="99"/>
      <c r="D13" s="99"/>
      <c r="E13" s="99"/>
      <c r="F13" s="99"/>
      <c r="G13" s="101"/>
      <c r="H13" s="89"/>
      <c r="I13" s="79"/>
      <c r="J13" s="102"/>
      <c r="K13" s="102"/>
      <c r="L13" s="102"/>
      <c r="M13" s="102"/>
      <c r="N13" s="79"/>
      <c r="O13" s="407"/>
      <c r="P13" s="408"/>
      <c r="Q13" s="409"/>
      <c r="R13" s="410" t="s">
        <v>182</v>
      </c>
      <c r="S13" s="405"/>
      <c r="T13" s="317"/>
      <c r="U13" s="318"/>
      <c r="V13" s="406"/>
      <c r="W13" s="317"/>
      <c r="X13" s="318"/>
      <c r="Y13" s="406"/>
      <c r="Z13" s="317"/>
      <c r="AA13" s="318"/>
      <c r="AB13" s="406"/>
      <c r="AC13" s="317"/>
      <c r="AD13" s="318"/>
      <c r="AE13" s="406"/>
      <c r="AF13" s="317"/>
      <c r="AG13" s="318"/>
    </row>
    <row r="14" spans="1:33" ht="19.5" customHeight="1" x14ac:dyDescent="0.2">
      <c r="A14" s="434" t="s">
        <v>183</v>
      </c>
      <c r="B14" s="422"/>
      <c r="C14" s="423"/>
      <c r="D14" s="93" t="s">
        <v>179</v>
      </c>
      <c r="E14" s="434" t="s">
        <v>172</v>
      </c>
      <c r="F14" s="422"/>
      <c r="G14" s="423"/>
      <c r="H14" s="93" t="s">
        <v>176</v>
      </c>
      <c r="I14" s="79"/>
      <c r="J14" s="79"/>
      <c r="K14" s="79"/>
      <c r="L14" s="79"/>
      <c r="M14" s="79"/>
      <c r="N14" s="79"/>
      <c r="O14" s="407"/>
      <c r="P14" s="408"/>
      <c r="Q14" s="409"/>
      <c r="R14" s="411"/>
      <c r="S14" s="319"/>
      <c r="T14" s="320"/>
      <c r="U14" s="321"/>
      <c r="V14" s="319"/>
      <c r="W14" s="320"/>
      <c r="X14" s="321"/>
      <c r="Y14" s="319"/>
      <c r="Z14" s="320"/>
      <c r="AA14" s="321"/>
      <c r="AB14" s="319"/>
      <c r="AC14" s="320"/>
      <c r="AD14" s="321"/>
      <c r="AE14" s="319"/>
      <c r="AF14" s="320"/>
      <c r="AG14" s="321"/>
    </row>
    <row r="15" spans="1:33" ht="19.5" customHeight="1" x14ac:dyDescent="0.2">
      <c r="A15" s="349"/>
      <c r="B15" s="309"/>
      <c r="C15" s="310"/>
      <c r="D15" s="103"/>
      <c r="E15" s="349"/>
      <c r="F15" s="309"/>
      <c r="G15" s="310"/>
      <c r="H15" s="87"/>
      <c r="I15" s="86"/>
      <c r="J15" s="79"/>
      <c r="K15" s="79"/>
      <c r="L15" s="79"/>
      <c r="M15" s="79"/>
      <c r="N15" s="79"/>
      <c r="O15" s="407"/>
      <c r="P15" s="408"/>
      <c r="Q15" s="409"/>
      <c r="R15" s="410" t="s">
        <v>184</v>
      </c>
      <c r="S15" s="405"/>
      <c r="T15" s="317"/>
      <c r="U15" s="318"/>
      <c r="V15" s="406"/>
      <c r="W15" s="317"/>
      <c r="X15" s="318"/>
      <c r="Y15" s="406"/>
      <c r="Z15" s="317"/>
      <c r="AA15" s="318"/>
      <c r="AB15" s="406"/>
      <c r="AC15" s="317"/>
      <c r="AD15" s="318"/>
      <c r="AE15" s="406"/>
      <c r="AF15" s="317"/>
      <c r="AG15" s="318"/>
    </row>
    <row r="16" spans="1:33" ht="19.5" customHeight="1" x14ac:dyDescent="0.2">
      <c r="A16" s="439" t="s">
        <v>177</v>
      </c>
      <c r="B16" s="440"/>
      <c r="C16" s="439" t="s">
        <v>180</v>
      </c>
      <c r="D16" s="307"/>
      <c r="E16" s="307"/>
      <c r="F16" s="307"/>
      <c r="G16" s="307"/>
      <c r="H16" s="440"/>
      <c r="I16" s="79"/>
      <c r="J16" s="79"/>
      <c r="K16" s="79"/>
      <c r="L16" s="79"/>
      <c r="M16" s="79"/>
      <c r="N16" s="79"/>
      <c r="O16" s="407"/>
      <c r="P16" s="408"/>
      <c r="Q16" s="409"/>
      <c r="R16" s="411"/>
      <c r="S16" s="319"/>
      <c r="T16" s="320"/>
      <c r="U16" s="321"/>
      <c r="V16" s="319"/>
      <c r="W16" s="320"/>
      <c r="X16" s="321"/>
      <c r="Y16" s="319"/>
      <c r="Z16" s="320"/>
      <c r="AA16" s="321"/>
      <c r="AB16" s="319"/>
      <c r="AC16" s="320"/>
      <c r="AD16" s="321"/>
      <c r="AE16" s="319"/>
      <c r="AF16" s="320"/>
      <c r="AG16" s="321"/>
    </row>
    <row r="17" spans="1:34" ht="19.5" customHeight="1" x14ac:dyDescent="0.2">
      <c r="A17" s="349"/>
      <c r="B17" s="310"/>
      <c r="C17" s="349"/>
      <c r="D17" s="309"/>
      <c r="E17" s="309"/>
      <c r="F17" s="309"/>
      <c r="G17" s="309"/>
      <c r="H17" s="310"/>
      <c r="I17" s="86"/>
      <c r="J17" s="79"/>
      <c r="K17" s="79"/>
      <c r="L17" s="79"/>
      <c r="M17" s="79"/>
      <c r="N17" s="79"/>
      <c r="O17" s="407"/>
      <c r="P17" s="408"/>
      <c r="Q17" s="409"/>
      <c r="R17" s="410" t="s">
        <v>185</v>
      </c>
      <c r="S17" s="405"/>
      <c r="T17" s="317"/>
      <c r="U17" s="318"/>
      <c r="V17" s="406"/>
      <c r="W17" s="317"/>
      <c r="X17" s="318"/>
      <c r="Y17" s="406"/>
      <c r="Z17" s="317"/>
      <c r="AA17" s="318"/>
      <c r="AB17" s="406"/>
      <c r="AC17" s="317"/>
      <c r="AD17" s="318"/>
      <c r="AE17" s="406"/>
      <c r="AF17" s="317"/>
      <c r="AG17" s="318"/>
    </row>
    <row r="18" spans="1:34" ht="19.5" customHeight="1" x14ac:dyDescent="0.2">
      <c r="A18" s="99"/>
      <c r="B18" s="100"/>
      <c r="C18" s="100"/>
      <c r="D18" s="99"/>
      <c r="E18" s="99"/>
      <c r="F18" s="99"/>
      <c r="G18" s="101"/>
      <c r="H18" s="89"/>
      <c r="I18" s="79"/>
      <c r="J18" s="79"/>
      <c r="K18" s="79"/>
      <c r="L18" s="79"/>
      <c r="M18" s="79"/>
      <c r="N18" s="79"/>
      <c r="O18" s="407"/>
      <c r="P18" s="408"/>
      <c r="Q18" s="409"/>
      <c r="R18" s="411"/>
      <c r="S18" s="319"/>
      <c r="T18" s="320"/>
      <c r="U18" s="321"/>
      <c r="V18" s="319"/>
      <c r="W18" s="320"/>
      <c r="X18" s="321"/>
      <c r="Y18" s="319"/>
      <c r="Z18" s="320"/>
      <c r="AA18" s="321"/>
      <c r="AB18" s="319"/>
      <c r="AC18" s="320"/>
      <c r="AD18" s="321"/>
      <c r="AE18" s="319"/>
      <c r="AF18" s="320"/>
      <c r="AG18" s="321"/>
    </row>
    <row r="19" spans="1:34" ht="19.5" customHeight="1" x14ac:dyDescent="0.2">
      <c r="A19" s="434" t="s">
        <v>186</v>
      </c>
      <c r="B19" s="422"/>
      <c r="C19" s="423"/>
      <c r="D19" s="93" t="s">
        <v>179</v>
      </c>
      <c r="E19" s="434" t="s">
        <v>172</v>
      </c>
      <c r="F19" s="422"/>
      <c r="G19" s="423"/>
      <c r="H19" s="78"/>
      <c r="I19" s="79"/>
      <c r="J19" s="79"/>
      <c r="K19" s="79"/>
      <c r="L19" s="79"/>
      <c r="M19" s="79"/>
      <c r="N19" s="79"/>
      <c r="O19" s="407"/>
      <c r="P19" s="408"/>
      <c r="Q19" s="409"/>
      <c r="R19" s="410" t="s">
        <v>187</v>
      </c>
      <c r="S19" s="405"/>
      <c r="T19" s="317"/>
      <c r="U19" s="318"/>
      <c r="V19" s="406"/>
      <c r="W19" s="317"/>
      <c r="X19" s="318"/>
      <c r="Y19" s="406"/>
      <c r="Z19" s="317"/>
      <c r="AA19" s="318"/>
      <c r="AB19" s="406"/>
      <c r="AC19" s="317"/>
      <c r="AD19" s="318"/>
      <c r="AE19" s="406"/>
      <c r="AF19" s="317"/>
      <c r="AG19" s="318"/>
    </row>
    <row r="20" spans="1:34" ht="19.5" customHeight="1" x14ac:dyDescent="0.2">
      <c r="A20" s="349"/>
      <c r="B20" s="309"/>
      <c r="C20" s="310"/>
      <c r="D20" s="103"/>
      <c r="E20" s="349"/>
      <c r="F20" s="309"/>
      <c r="G20" s="310"/>
      <c r="H20" s="95"/>
      <c r="I20" s="79"/>
      <c r="J20" s="79"/>
      <c r="K20" s="79"/>
      <c r="L20" s="79"/>
      <c r="M20" s="79"/>
      <c r="N20" s="79"/>
      <c r="O20" s="407"/>
      <c r="P20" s="408"/>
      <c r="Q20" s="409"/>
      <c r="R20" s="411"/>
      <c r="S20" s="319"/>
      <c r="T20" s="320"/>
      <c r="U20" s="321"/>
      <c r="V20" s="319"/>
      <c r="W20" s="320"/>
      <c r="X20" s="321"/>
      <c r="Y20" s="319"/>
      <c r="Z20" s="320"/>
      <c r="AA20" s="321"/>
      <c r="AB20" s="319"/>
      <c r="AC20" s="320"/>
      <c r="AD20" s="321"/>
      <c r="AE20" s="319"/>
      <c r="AF20" s="320"/>
      <c r="AG20" s="321"/>
    </row>
    <row r="21" spans="1:34" ht="19.5" customHeight="1" x14ac:dyDescent="0.2">
      <c r="A21" s="439" t="s">
        <v>180</v>
      </c>
      <c r="B21" s="307"/>
      <c r="C21" s="307"/>
      <c r="D21" s="307"/>
      <c r="E21" s="307"/>
      <c r="F21" s="307"/>
      <c r="G21" s="440"/>
      <c r="H21" s="78"/>
      <c r="I21" s="79"/>
      <c r="J21" s="79"/>
      <c r="K21" s="79"/>
      <c r="L21" s="79"/>
      <c r="M21" s="79"/>
      <c r="N21" s="79"/>
      <c r="O21" s="407"/>
      <c r="P21" s="408"/>
      <c r="Q21" s="409"/>
      <c r="R21" s="410" t="s">
        <v>188</v>
      </c>
      <c r="S21" s="405"/>
      <c r="T21" s="317"/>
      <c r="U21" s="318"/>
      <c r="V21" s="406"/>
      <c r="W21" s="317"/>
      <c r="X21" s="318"/>
      <c r="Y21" s="406"/>
      <c r="Z21" s="317"/>
      <c r="AA21" s="318"/>
      <c r="AB21" s="406"/>
      <c r="AC21" s="317"/>
      <c r="AD21" s="318"/>
      <c r="AE21" s="406"/>
      <c r="AF21" s="317"/>
      <c r="AG21" s="318"/>
    </row>
    <row r="22" spans="1:34" ht="19.5" customHeight="1" x14ac:dyDescent="0.2">
      <c r="A22" s="349"/>
      <c r="B22" s="309"/>
      <c r="C22" s="309"/>
      <c r="D22" s="309"/>
      <c r="E22" s="309"/>
      <c r="F22" s="309"/>
      <c r="G22" s="310"/>
      <c r="H22" s="95"/>
      <c r="I22" s="79"/>
      <c r="J22" s="79"/>
      <c r="K22" s="79"/>
      <c r="L22" s="79"/>
      <c r="M22" s="79"/>
      <c r="N22" s="79"/>
      <c r="O22" s="407"/>
      <c r="P22" s="408"/>
      <c r="Q22" s="409"/>
      <c r="R22" s="411"/>
      <c r="S22" s="319"/>
      <c r="T22" s="320"/>
      <c r="U22" s="321"/>
      <c r="V22" s="319"/>
      <c r="W22" s="320"/>
      <c r="X22" s="321"/>
      <c r="Y22" s="319"/>
      <c r="Z22" s="320"/>
      <c r="AA22" s="321"/>
      <c r="AB22" s="319"/>
      <c r="AC22" s="320"/>
      <c r="AD22" s="321"/>
      <c r="AE22" s="319"/>
      <c r="AF22" s="320"/>
      <c r="AG22" s="321"/>
    </row>
    <row r="23" spans="1:34" ht="19.5" customHeight="1" x14ac:dyDescent="0.2">
      <c r="A23" s="99"/>
      <c r="B23" s="100"/>
      <c r="C23" s="99"/>
      <c r="D23" s="99"/>
      <c r="E23" s="99"/>
      <c r="F23" s="100"/>
      <c r="G23" s="89"/>
      <c r="H23" s="78"/>
      <c r="I23" s="79"/>
      <c r="J23" s="79"/>
      <c r="K23" s="79"/>
      <c r="L23" s="79"/>
      <c r="M23" s="79"/>
      <c r="N23" s="79"/>
      <c r="O23" s="407"/>
      <c r="P23" s="408"/>
      <c r="Q23" s="409"/>
      <c r="R23" s="410" t="s">
        <v>189</v>
      </c>
      <c r="S23" s="405"/>
      <c r="T23" s="317"/>
      <c r="U23" s="318"/>
      <c r="V23" s="406"/>
      <c r="W23" s="317"/>
      <c r="X23" s="318"/>
      <c r="Y23" s="406"/>
      <c r="Z23" s="317"/>
      <c r="AA23" s="318"/>
      <c r="AB23" s="406"/>
      <c r="AC23" s="317"/>
      <c r="AD23" s="318"/>
      <c r="AE23" s="406"/>
      <c r="AF23" s="317"/>
      <c r="AG23" s="318"/>
    </row>
    <row r="24" spans="1:34" ht="19.5" customHeight="1" x14ac:dyDescent="0.2">
      <c r="A24" s="434" t="s">
        <v>186</v>
      </c>
      <c r="B24" s="422"/>
      <c r="C24" s="423"/>
      <c r="D24" s="93" t="s">
        <v>179</v>
      </c>
      <c r="E24" s="434" t="s">
        <v>172</v>
      </c>
      <c r="F24" s="422"/>
      <c r="G24" s="423"/>
      <c r="H24" s="78"/>
      <c r="I24" s="79"/>
      <c r="J24" s="79"/>
      <c r="K24" s="79"/>
      <c r="L24" s="79"/>
      <c r="M24" s="79"/>
      <c r="N24" s="79"/>
      <c r="O24" s="407"/>
      <c r="P24" s="408"/>
      <c r="Q24" s="409"/>
      <c r="R24" s="411"/>
      <c r="S24" s="319"/>
      <c r="T24" s="320"/>
      <c r="U24" s="321"/>
      <c r="V24" s="319"/>
      <c r="W24" s="320"/>
      <c r="X24" s="321"/>
      <c r="Y24" s="319"/>
      <c r="Z24" s="320"/>
      <c r="AA24" s="321"/>
      <c r="AB24" s="319"/>
      <c r="AC24" s="320"/>
      <c r="AD24" s="321"/>
      <c r="AE24" s="319"/>
      <c r="AF24" s="320"/>
      <c r="AG24" s="321"/>
    </row>
    <row r="25" spans="1:34" ht="19.5" customHeight="1" x14ac:dyDescent="0.2">
      <c r="A25" s="349"/>
      <c r="B25" s="309"/>
      <c r="C25" s="310"/>
      <c r="D25" s="103"/>
      <c r="E25" s="349"/>
      <c r="F25" s="309"/>
      <c r="G25" s="310"/>
      <c r="H25" s="95"/>
      <c r="I25" s="79"/>
      <c r="J25" s="79"/>
      <c r="K25" s="79"/>
      <c r="L25" s="79"/>
      <c r="M25" s="79"/>
      <c r="N25" s="79"/>
      <c r="O25" s="79"/>
      <c r="P25" s="79"/>
      <c r="Q25" s="79"/>
      <c r="R25" s="410" t="s">
        <v>190</v>
      </c>
      <c r="S25" s="405"/>
      <c r="T25" s="317"/>
      <c r="U25" s="318"/>
      <c r="V25" s="406"/>
      <c r="W25" s="317"/>
      <c r="X25" s="318"/>
      <c r="Y25" s="406"/>
      <c r="Z25" s="317"/>
      <c r="AA25" s="318"/>
      <c r="AB25" s="406"/>
      <c r="AC25" s="317"/>
      <c r="AD25" s="318"/>
      <c r="AE25" s="406"/>
      <c r="AF25" s="317"/>
      <c r="AG25" s="318"/>
    </row>
    <row r="26" spans="1:34" ht="19.5" customHeight="1" x14ac:dyDescent="0.25">
      <c r="A26" s="439" t="s">
        <v>180</v>
      </c>
      <c r="B26" s="307"/>
      <c r="C26" s="307"/>
      <c r="D26" s="307"/>
      <c r="E26" s="307"/>
      <c r="F26" s="307"/>
      <c r="G26" s="440"/>
      <c r="H26" s="78"/>
      <c r="I26" s="79"/>
      <c r="J26" s="79"/>
      <c r="K26" s="79"/>
      <c r="L26" s="79"/>
      <c r="M26" s="79"/>
      <c r="N26" s="79"/>
      <c r="O26" s="413" t="s">
        <v>191</v>
      </c>
      <c r="P26" s="414"/>
      <c r="Q26" s="425"/>
      <c r="R26" s="411"/>
      <c r="S26" s="319"/>
      <c r="T26" s="320"/>
      <c r="U26" s="321"/>
      <c r="V26" s="319"/>
      <c r="W26" s="320"/>
      <c r="X26" s="321"/>
      <c r="Y26" s="319"/>
      <c r="Z26" s="320"/>
      <c r="AA26" s="321"/>
      <c r="AB26" s="319"/>
      <c r="AC26" s="320"/>
      <c r="AD26" s="321"/>
      <c r="AE26" s="319"/>
      <c r="AF26" s="320"/>
      <c r="AG26" s="321"/>
    </row>
    <row r="27" spans="1:34" ht="19.5" customHeight="1" x14ac:dyDescent="0.2">
      <c r="A27" s="446"/>
      <c r="B27" s="309"/>
      <c r="C27" s="309"/>
      <c r="D27" s="309"/>
      <c r="E27" s="309"/>
      <c r="F27" s="309"/>
      <c r="G27" s="310"/>
      <c r="H27" s="95"/>
      <c r="I27" s="79"/>
      <c r="J27" s="79"/>
      <c r="K27" s="79"/>
      <c r="L27" s="79"/>
      <c r="M27" s="79"/>
      <c r="N27" s="79"/>
      <c r="O27" s="407"/>
      <c r="P27" s="408"/>
      <c r="Q27" s="409"/>
      <c r="R27" s="410" t="s">
        <v>192</v>
      </c>
      <c r="S27" s="405"/>
      <c r="T27" s="317"/>
      <c r="U27" s="318"/>
      <c r="V27" s="406"/>
      <c r="W27" s="317"/>
      <c r="X27" s="318"/>
      <c r="Y27" s="406"/>
      <c r="Z27" s="317"/>
      <c r="AA27" s="318"/>
      <c r="AB27" s="406"/>
      <c r="AC27" s="317"/>
      <c r="AD27" s="318"/>
      <c r="AE27" s="406"/>
      <c r="AF27" s="317"/>
      <c r="AG27" s="318"/>
    </row>
    <row r="28" spans="1:34" ht="19.5" customHeight="1" x14ac:dyDescent="0.2">
      <c r="A28" s="89"/>
      <c r="B28" s="90"/>
      <c r="C28" s="90"/>
      <c r="D28" s="89"/>
      <c r="E28" s="89"/>
      <c r="F28" s="90"/>
      <c r="G28" s="89"/>
      <c r="H28" s="78"/>
      <c r="I28" s="79"/>
      <c r="J28" s="79"/>
      <c r="K28" s="79"/>
      <c r="L28" s="79"/>
      <c r="M28" s="79"/>
      <c r="N28" s="79"/>
      <c r="O28" s="407"/>
      <c r="P28" s="408"/>
      <c r="Q28" s="409"/>
      <c r="R28" s="411"/>
      <c r="S28" s="319"/>
      <c r="T28" s="320"/>
      <c r="U28" s="321"/>
      <c r="V28" s="319"/>
      <c r="W28" s="320"/>
      <c r="X28" s="321"/>
      <c r="Y28" s="319"/>
      <c r="Z28" s="320"/>
      <c r="AA28" s="321"/>
      <c r="AB28" s="319"/>
      <c r="AC28" s="320"/>
      <c r="AD28" s="321"/>
      <c r="AE28" s="319"/>
      <c r="AF28" s="320"/>
      <c r="AG28" s="321"/>
    </row>
    <row r="29" spans="1:34" ht="19.5" customHeight="1" x14ac:dyDescent="0.2">
      <c r="A29" s="434" t="s">
        <v>193</v>
      </c>
      <c r="B29" s="422"/>
      <c r="C29" s="422"/>
      <c r="D29" s="422"/>
      <c r="E29" s="422"/>
      <c r="F29" s="422"/>
      <c r="G29" s="422"/>
      <c r="H29" s="422"/>
      <c r="I29" s="422"/>
      <c r="J29" s="423"/>
      <c r="K29" s="104"/>
      <c r="L29" s="104"/>
      <c r="M29" s="104"/>
      <c r="N29" s="79"/>
      <c r="O29" s="407"/>
      <c r="P29" s="408"/>
      <c r="Q29" s="409"/>
      <c r="R29" s="410" t="s">
        <v>194</v>
      </c>
      <c r="S29" s="405"/>
      <c r="T29" s="317"/>
      <c r="U29" s="318"/>
      <c r="V29" s="406"/>
      <c r="W29" s="317"/>
      <c r="X29" s="318"/>
      <c r="Y29" s="406"/>
      <c r="Z29" s="317"/>
      <c r="AA29" s="318"/>
      <c r="AB29" s="406"/>
      <c r="AC29" s="317"/>
      <c r="AD29" s="318"/>
      <c r="AE29" s="406"/>
      <c r="AF29" s="317"/>
      <c r="AG29" s="318"/>
    </row>
    <row r="30" spans="1:34" ht="19.5" customHeight="1" x14ac:dyDescent="0.2">
      <c r="A30" s="105" t="s">
        <v>195</v>
      </c>
      <c r="B30" s="105" t="s">
        <v>196</v>
      </c>
      <c r="C30" s="106" t="s">
        <v>179</v>
      </c>
      <c r="D30" s="105" t="s">
        <v>195</v>
      </c>
      <c r="E30" s="105" t="s">
        <v>196</v>
      </c>
      <c r="F30" s="106" t="s">
        <v>179</v>
      </c>
      <c r="G30" s="447" t="s">
        <v>195</v>
      </c>
      <c r="H30" s="310"/>
      <c r="I30" s="106" t="s">
        <v>196</v>
      </c>
      <c r="J30" s="106" t="s">
        <v>179</v>
      </c>
      <c r="K30" s="107" t="s">
        <v>197</v>
      </c>
      <c r="L30" s="107" t="s">
        <v>198</v>
      </c>
      <c r="M30" s="107" t="s">
        <v>199</v>
      </c>
      <c r="N30" s="86"/>
      <c r="O30" s="407"/>
      <c r="P30" s="408"/>
      <c r="Q30" s="409"/>
      <c r="R30" s="411"/>
      <c r="S30" s="319"/>
      <c r="T30" s="320"/>
      <c r="U30" s="321"/>
      <c r="V30" s="319"/>
      <c r="W30" s="320"/>
      <c r="X30" s="321"/>
      <c r="Y30" s="319"/>
      <c r="Z30" s="320"/>
      <c r="AA30" s="321"/>
      <c r="AB30" s="319"/>
      <c r="AC30" s="320"/>
      <c r="AD30" s="321"/>
      <c r="AE30" s="319"/>
      <c r="AF30" s="320"/>
      <c r="AG30" s="321"/>
    </row>
    <row r="31" spans="1:34" ht="19.5" customHeight="1" x14ac:dyDescent="0.25">
      <c r="A31" s="87"/>
      <c r="B31" s="108"/>
      <c r="C31" s="108"/>
      <c r="D31" s="87"/>
      <c r="E31" s="87"/>
      <c r="F31" s="108"/>
      <c r="G31" s="448" t="s">
        <v>200</v>
      </c>
      <c r="H31" s="310"/>
      <c r="I31" s="415"/>
      <c r="J31" s="310"/>
      <c r="K31" s="110"/>
      <c r="L31" s="110"/>
      <c r="M31" s="111"/>
      <c r="N31" s="86"/>
      <c r="O31" s="407"/>
      <c r="P31" s="408"/>
      <c r="Q31" s="409"/>
      <c r="R31" s="410" t="s">
        <v>201</v>
      </c>
      <c r="S31" s="405"/>
      <c r="T31" s="317"/>
      <c r="U31" s="318"/>
      <c r="V31" s="406"/>
      <c r="W31" s="317"/>
      <c r="X31" s="318"/>
      <c r="Y31" s="406"/>
      <c r="Z31" s="317"/>
      <c r="AA31" s="318"/>
      <c r="AB31" s="406"/>
      <c r="AC31" s="317"/>
      <c r="AD31" s="318"/>
      <c r="AE31" s="406"/>
      <c r="AF31" s="317"/>
      <c r="AG31" s="318"/>
      <c r="AH31" s="112">
        <f>MAX(IF(Equipamiento!B54&gt;Equipamiento!B56,Tablas!H293,-Equipamiento!A12-Equipamiento!H15),IF(Equipamiento!B54&gt;Equipamiento!B57,Tablas!H294,Equipamiento!A12-Equipamiento!H15),-Equipamiento!A12-Equipamiento!H15)</f>
        <v>0</v>
      </c>
    </row>
    <row r="32" spans="1:34" ht="19.5" customHeight="1" x14ac:dyDescent="0.2">
      <c r="A32" s="87"/>
      <c r="B32" s="87"/>
      <c r="C32" s="87"/>
      <c r="D32" s="87"/>
      <c r="E32" s="87"/>
      <c r="F32" s="87"/>
      <c r="G32" s="412"/>
      <c r="H32" s="310"/>
      <c r="I32" s="108"/>
      <c r="J32" s="108"/>
      <c r="K32" s="110"/>
      <c r="L32" s="110"/>
      <c r="M32" s="110"/>
      <c r="N32" s="86"/>
      <c r="O32" s="407"/>
      <c r="P32" s="408"/>
      <c r="Q32" s="409"/>
      <c r="R32" s="411"/>
      <c r="S32" s="319"/>
      <c r="T32" s="320"/>
      <c r="U32" s="321"/>
      <c r="V32" s="319"/>
      <c r="W32" s="320"/>
      <c r="X32" s="321"/>
      <c r="Y32" s="319"/>
      <c r="Z32" s="320"/>
      <c r="AA32" s="321"/>
      <c r="AB32" s="319"/>
      <c r="AC32" s="320"/>
      <c r="AD32" s="321"/>
      <c r="AE32" s="319"/>
      <c r="AF32" s="320"/>
      <c r="AG32" s="321"/>
    </row>
    <row r="33" spans="1:33" ht="19.5" customHeight="1" x14ac:dyDescent="0.2">
      <c r="A33" s="87"/>
      <c r="B33" s="87"/>
      <c r="C33" s="87"/>
      <c r="D33" s="87"/>
      <c r="E33" s="87"/>
      <c r="F33" s="87"/>
      <c r="G33" s="412"/>
      <c r="H33" s="310"/>
      <c r="I33" s="108"/>
      <c r="J33" s="108"/>
      <c r="K33" s="110"/>
      <c r="L33" s="110"/>
      <c r="M33" s="110"/>
      <c r="N33" s="86"/>
      <c r="O33" s="407"/>
      <c r="P33" s="408"/>
      <c r="Q33" s="409"/>
      <c r="R33" s="410" t="s">
        <v>202</v>
      </c>
      <c r="S33" s="405"/>
      <c r="T33" s="317"/>
      <c r="U33" s="318"/>
      <c r="V33" s="406"/>
      <c r="W33" s="317"/>
      <c r="X33" s="318"/>
      <c r="Y33" s="406"/>
      <c r="Z33" s="317"/>
      <c r="AA33" s="318"/>
      <c r="AB33" s="406"/>
      <c r="AC33" s="317"/>
      <c r="AD33" s="318"/>
      <c r="AE33" s="406"/>
      <c r="AF33" s="317"/>
      <c r="AG33" s="318"/>
    </row>
    <row r="34" spans="1:33" ht="19.5" customHeight="1" x14ac:dyDescent="0.2">
      <c r="A34" s="108"/>
      <c r="B34" s="108"/>
      <c r="C34" s="108"/>
      <c r="D34" s="108"/>
      <c r="E34" s="108"/>
      <c r="F34" s="108"/>
      <c r="G34" s="412"/>
      <c r="H34" s="310"/>
      <c r="I34" s="108"/>
      <c r="J34" s="108"/>
      <c r="K34" s="110"/>
      <c r="L34" s="110"/>
      <c r="M34" s="110"/>
      <c r="N34" s="86"/>
      <c r="O34" s="407"/>
      <c r="P34" s="408"/>
      <c r="Q34" s="409"/>
      <c r="R34" s="411"/>
      <c r="S34" s="319"/>
      <c r="T34" s="320"/>
      <c r="U34" s="321"/>
      <c r="V34" s="319"/>
      <c r="W34" s="320"/>
      <c r="X34" s="321"/>
      <c r="Y34" s="319"/>
      <c r="Z34" s="320"/>
      <c r="AA34" s="321"/>
      <c r="AB34" s="319"/>
      <c r="AC34" s="320"/>
      <c r="AD34" s="321"/>
      <c r="AE34" s="319"/>
      <c r="AF34" s="320"/>
      <c r="AG34" s="321"/>
    </row>
    <row r="35" spans="1:33" ht="66" customHeight="1" x14ac:dyDescent="0.2">
      <c r="A35" s="108"/>
      <c r="B35" s="108"/>
      <c r="C35" s="108"/>
      <c r="D35" s="108"/>
      <c r="E35" s="108"/>
      <c r="F35" s="108"/>
      <c r="G35" s="412"/>
      <c r="H35" s="310"/>
      <c r="I35" s="108"/>
      <c r="J35" s="108"/>
      <c r="K35" s="110"/>
      <c r="L35" s="110"/>
      <c r="M35" s="110"/>
      <c r="N35" s="86"/>
      <c r="O35" s="407"/>
      <c r="P35" s="408"/>
      <c r="Q35" s="409"/>
      <c r="R35" s="410" t="s">
        <v>203</v>
      </c>
      <c r="S35" s="405"/>
      <c r="T35" s="317"/>
      <c r="U35" s="318"/>
      <c r="V35" s="406"/>
      <c r="W35" s="317"/>
      <c r="X35" s="318"/>
      <c r="Y35" s="406"/>
      <c r="Z35" s="317"/>
      <c r="AA35" s="318"/>
      <c r="AB35" s="406"/>
      <c r="AC35" s="317"/>
      <c r="AD35" s="318"/>
      <c r="AE35" s="406"/>
      <c r="AF35" s="317"/>
      <c r="AG35" s="318"/>
    </row>
    <row r="36" spans="1:33" ht="24.75" customHeight="1" x14ac:dyDescent="0.2">
      <c r="A36" s="108"/>
      <c r="B36" s="108"/>
      <c r="C36" s="108"/>
      <c r="D36" s="108"/>
      <c r="E36" s="108"/>
      <c r="F36" s="108"/>
      <c r="G36" s="412"/>
      <c r="H36" s="310"/>
      <c r="I36" s="108"/>
      <c r="J36" s="108"/>
      <c r="K36" s="110"/>
      <c r="L36" s="110"/>
      <c r="M36" s="110"/>
      <c r="N36" s="86"/>
      <c r="O36" s="407"/>
      <c r="P36" s="408"/>
      <c r="Q36" s="409"/>
      <c r="R36" s="411"/>
      <c r="S36" s="319"/>
      <c r="T36" s="320"/>
      <c r="U36" s="321"/>
      <c r="V36" s="319"/>
      <c r="W36" s="320"/>
      <c r="X36" s="321"/>
      <c r="Y36" s="319"/>
      <c r="Z36" s="320"/>
      <c r="AA36" s="321"/>
      <c r="AB36" s="319"/>
      <c r="AC36" s="320"/>
      <c r="AD36" s="321"/>
      <c r="AE36" s="319"/>
      <c r="AF36" s="320"/>
      <c r="AG36" s="321"/>
    </row>
    <row r="37" spans="1:33" ht="19.5" customHeight="1" x14ac:dyDescent="0.2">
      <c r="A37" s="108"/>
      <c r="B37" s="108"/>
      <c r="C37" s="108"/>
      <c r="D37" s="108"/>
      <c r="E37" s="108"/>
      <c r="F37" s="108"/>
      <c r="G37" s="412"/>
      <c r="H37" s="310"/>
      <c r="I37" s="108"/>
      <c r="J37" s="108"/>
      <c r="K37" s="110"/>
      <c r="L37" s="110"/>
      <c r="M37" s="110"/>
      <c r="N37" s="86"/>
      <c r="O37" s="407"/>
      <c r="P37" s="408"/>
      <c r="Q37" s="409"/>
      <c r="R37" s="410" t="s">
        <v>204</v>
      </c>
      <c r="S37" s="405"/>
      <c r="T37" s="317"/>
      <c r="U37" s="318"/>
      <c r="V37" s="406"/>
      <c r="W37" s="317"/>
      <c r="X37" s="318"/>
      <c r="Y37" s="406"/>
      <c r="Z37" s="317"/>
      <c r="AA37" s="318"/>
      <c r="AB37" s="406"/>
      <c r="AC37" s="317"/>
      <c r="AD37" s="318"/>
      <c r="AE37" s="406"/>
      <c r="AF37" s="317"/>
      <c r="AG37" s="318"/>
    </row>
    <row r="38" spans="1:33" ht="19.5" customHeight="1" x14ac:dyDescent="0.2">
      <c r="A38" s="108"/>
      <c r="B38" s="108"/>
      <c r="C38" s="108"/>
      <c r="D38" s="108"/>
      <c r="E38" s="108"/>
      <c r="F38" s="108"/>
      <c r="G38" s="412"/>
      <c r="H38" s="310"/>
      <c r="I38" s="108"/>
      <c r="J38" s="108"/>
      <c r="K38" s="110"/>
      <c r="L38" s="110"/>
      <c r="M38" s="110"/>
      <c r="N38" s="86"/>
      <c r="O38" s="407"/>
      <c r="P38" s="408"/>
      <c r="Q38" s="409"/>
      <c r="R38" s="411"/>
      <c r="S38" s="319"/>
      <c r="T38" s="320"/>
      <c r="U38" s="321"/>
      <c r="V38" s="319"/>
      <c r="W38" s="320"/>
      <c r="X38" s="321"/>
      <c r="Y38" s="319"/>
      <c r="Z38" s="320"/>
      <c r="AA38" s="321"/>
      <c r="AB38" s="319"/>
      <c r="AC38" s="320"/>
      <c r="AD38" s="321"/>
      <c r="AE38" s="319"/>
      <c r="AF38" s="320"/>
      <c r="AG38" s="321"/>
    </row>
    <row r="39" spans="1:33" ht="19.5" customHeight="1" x14ac:dyDescent="0.2">
      <c r="A39" s="108"/>
      <c r="B39" s="108"/>
      <c r="C39" s="108"/>
      <c r="D39" s="108"/>
      <c r="E39" s="108"/>
      <c r="F39" s="108"/>
      <c r="G39" s="412"/>
      <c r="H39" s="310"/>
      <c r="I39" s="108"/>
      <c r="J39" s="108"/>
      <c r="K39" s="110"/>
      <c r="L39" s="110"/>
      <c r="M39" s="110"/>
      <c r="N39" s="86"/>
      <c r="O39" s="407"/>
      <c r="P39" s="408"/>
      <c r="Q39" s="409"/>
      <c r="R39" s="410" t="s">
        <v>205</v>
      </c>
      <c r="S39" s="405"/>
      <c r="T39" s="317"/>
      <c r="U39" s="318"/>
      <c r="V39" s="406"/>
      <c r="W39" s="317"/>
      <c r="X39" s="318"/>
      <c r="Y39" s="406"/>
      <c r="Z39" s="317"/>
      <c r="AA39" s="318"/>
      <c r="AB39" s="406"/>
      <c r="AC39" s="317"/>
      <c r="AD39" s="318"/>
      <c r="AE39" s="406"/>
      <c r="AF39" s="317"/>
      <c r="AG39" s="318"/>
    </row>
    <row r="40" spans="1:33" ht="19.5" customHeight="1" x14ac:dyDescent="0.2">
      <c r="A40" s="108"/>
      <c r="B40" s="108"/>
      <c r="C40" s="108"/>
      <c r="D40" s="108"/>
      <c r="E40" s="108"/>
      <c r="F40" s="108"/>
      <c r="G40" s="412"/>
      <c r="H40" s="310"/>
      <c r="I40" s="108"/>
      <c r="J40" s="108"/>
      <c r="K40" s="110"/>
      <c r="L40" s="110"/>
      <c r="M40" s="110"/>
      <c r="N40" s="86"/>
      <c r="O40" s="407"/>
      <c r="P40" s="408"/>
      <c r="Q40" s="409"/>
      <c r="R40" s="411"/>
      <c r="S40" s="319"/>
      <c r="T40" s="320"/>
      <c r="U40" s="321"/>
      <c r="V40" s="319"/>
      <c r="W40" s="320"/>
      <c r="X40" s="321"/>
      <c r="Y40" s="319"/>
      <c r="Z40" s="320"/>
      <c r="AA40" s="321"/>
      <c r="AB40" s="319"/>
      <c r="AC40" s="320"/>
      <c r="AD40" s="321"/>
      <c r="AE40" s="319"/>
      <c r="AF40" s="320"/>
      <c r="AG40" s="321"/>
    </row>
    <row r="41" spans="1:33" ht="19.5" customHeight="1" x14ac:dyDescent="0.2">
      <c r="A41" s="108"/>
      <c r="B41" s="108"/>
      <c r="C41" s="108"/>
      <c r="D41" s="108"/>
      <c r="E41" s="108"/>
      <c r="F41" s="108"/>
      <c r="G41" s="412"/>
      <c r="H41" s="310"/>
      <c r="I41" s="108"/>
      <c r="J41" s="108"/>
      <c r="K41" s="110"/>
      <c r="L41" s="110"/>
      <c r="M41" s="110"/>
      <c r="N41" s="86"/>
      <c r="O41" s="407"/>
      <c r="P41" s="408"/>
      <c r="Q41" s="409"/>
      <c r="R41" s="410" t="s">
        <v>206</v>
      </c>
      <c r="S41" s="405"/>
      <c r="T41" s="317"/>
      <c r="U41" s="318"/>
      <c r="V41" s="406"/>
      <c r="W41" s="317"/>
      <c r="X41" s="318"/>
      <c r="Y41" s="406"/>
      <c r="Z41" s="317"/>
      <c r="AA41" s="318"/>
      <c r="AB41" s="406"/>
      <c r="AC41" s="317"/>
      <c r="AD41" s="318"/>
      <c r="AE41" s="406"/>
      <c r="AF41" s="317"/>
      <c r="AG41" s="318"/>
    </row>
    <row r="42" spans="1:33" ht="19.5" customHeight="1" x14ac:dyDescent="0.2">
      <c r="A42" s="108"/>
      <c r="B42" s="108"/>
      <c r="C42" s="108"/>
      <c r="D42" s="108"/>
      <c r="E42" s="108"/>
      <c r="F42" s="108"/>
      <c r="G42" s="412"/>
      <c r="H42" s="310"/>
      <c r="I42" s="108"/>
      <c r="J42" s="108"/>
      <c r="K42" s="110"/>
      <c r="L42" s="110"/>
      <c r="M42" s="110"/>
      <c r="N42" s="86"/>
      <c r="O42" s="407"/>
      <c r="P42" s="408"/>
      <c r="Q42" s="409"/>
      <c r="R42" s="411"/>
      <c r="S42" s="319"/>
      <c r="T42" s="320"/>
      <c r="U42" s="321"/>
      <c r="V42" s="319"/>
      <c r="W42" s="320"/>
      <c r="X42" s="321"/>
      <c r="Y42" s="319"/>
      <c r="Z42" s="320"/>
      <c r="AA42" s="321"/>
      <c r="AB42" s="319"/>
      <c r="AC42" s="320"/>
      <c r="AD42" s="321"/>
      <c r="AE42" s="319"/>
      <c r="AF42" s="320"/>
      <c r="AG42" s="321"/>
    </row>
    <row r="43" spans="1:33" ht="19.5" customHeight="1" x14ac:dyDescent="0.2">
      <c r="A43" s="108"/>
      <c r="B43" s="108"/>
      <c r="C43" s="108"/>
      <c r="D43" s="108"/>
      <c r="E43" s="108"/>
      <c r="F43" s="108"/>
      <c r="G43" s="412"/>
      <c r="H43" s="310"/>
      <c r="I43" s="108"/>
      <c r="J43" s="108"/>
      <c r="K43" s="110"/>
      <c r="L43" s="110"/>
      <c r="M43" s="110"/>
      <c r="N43" s="86"/>
      <c r="O43" s="407"/>
      <c r="P43" s="408"/>
      <c r="Q43" s="409"/>
      <c r="R43" s="80"/>
      <c r="S43" s="76"/>
      <c r="T43" s="76"/>
      <c r="U43" s="76"/>
      <c r="V43" s="76"/>
      <c r="W43" s="76"/>
      <c r="X43" s="113"/>
      <c r="Y43" s="79"/>
    </row>
    <row r="44" spans="1:33" ht="36" customHeight="1" x14ac:dyDescent="0.2">
      <c r="A44" s="108"/>
      <c r="B44" s="108"/>
      <c r="C44" s="108"/>
      <c r="D44" s="108"/>
      <c r="E44" s="108"/>
      <c r="F44" s="108"/>
      <c r="G44" s="412"/>
      <c r="H44" s="310"/>
      <c r="I44" s="108"/>
      <c r="J44" s="108"/>
      <c r="K44" s="110"/>
      <c r="L44" s="110"/>
      <c r="M44" s="110"/>
      <c r="N44" s="86"/>
      <c r="O44" s="407"/>
      <c r="P44" s="408"/>
      <c r="Q44" s="409"/>
      <c r="R44" s="80"/>
      <c r="S44" s="76"/>
      <c r="T44" s="76"/>
      <c r="U44" s="76"/>
      <c r="V44" s="76"/>
      <c r="W44" s="76"/>
      <c r="X44" s="113"/>
      <c r="Y44" s="79"/>
    </row>
    <row r="45" spans="1:33" ht="27.75" customHeight="1" x14ac:dyDescent="0.2">
      <c r="A45" s="108"/>
      <c r="B45" s="108"/>
      <c r="C45" s="108"/>
      <c r="D45" s="108"/>
      <c r="E45" s="108"/>
      <c r="F45" s="108"/>
      <c r="G45" s="412"/>
      <c r="H45" s="310"/>
      <c r="I45" s="108"/>
      <c r="J45" s="108"/>
      <c r="K45" s="110"/>
      <c r="L45" s="110"/>
      <c r="M45" s="110"/>
      <c r="N45" s="86"/>
      <c r="O45" s="407"/>
      <c r="P45" s="408"/>
      <c r="Q45" s="409"/>
      <c r="R45" s="80"/>
      <c r="S45" s="76"/>
      <c r="T45" s="76"/>
      <c r="U45" s="76"/>
      <c r="V45" s="76"/>
      <c r="W45" s="76"/>
      <c r="X45" s="113"/>
      <c r="Y45" s="79"/>
    </row>
    <row r="46" spans="1:33" ht="24" customHeight="1" x14ac:dyDescent="0.25">
      <c r="A46" s="108"/>
      <c r="B46" s="108"/>
      <c r="C46" s="108"/>
      <c r="D46" s="108"/>
      <c r="E46" s="108"/>
      <c r="F46" s="108"/>
      <c r="G46" s="412"/>
      <c r="H46" s="310"/>
      <c r="I46" s="108"/>
      <c r="J46" s="108"/>
      <c r="K46" s="110"/>
      <c r="L46" s="110"/>
      <c r="M46" s="110"/>
      <c r="N46" s="86"/>
      <c r="O46" s="407"/>
      <c r="P46" s="408"/>
      <c r="Q46" s="409"/>
      <c r="R46" s="80"/>
      <c r="S46" s="413" t="s">
        <v>207</v>
      </c>
      <c r="T46" s="414"/>
      <c r="U46" s="114"/>
      <c r="V46" s="114"/>
      <c r="W46" s="115"/>
      <c r="X46" s="86"/>
      <c r="Y46" s="79"/>
    </row>
    <row r="47" spans="1:33" ht="19.5" customHeight="1" x14ac:dyDescent="0.2">
      <c r="A47" s="108"/>
      <c r="B47" s="108"/>
      <c r="C47" s="108"/>
      <c r="D47" s="108"/>
      <c r="E47" s="108"/>
      <c r="F47" s="108"/>
      <c r="G47" s="412"/>
      <c r="H47" s="310"/>
      <c r="I47" s="108"/>
      <c r="J47" s="108"/>
      <c r="K47" s="110"/>
      <c r="L47" s="110"/>
      <c r="M47" s="110"/>
      <c r="N47" s="86"/>
      <c r="O47" s="407"/>
      <c r="P47" s="408"/>
      <c r="Q47" s="409"/>
      <c r="R47" s="80"/>
      <c r="S47" s="79"/>
      <c r="T47" s="79"/>
      <c r="U47" s="100" t="s">
        <v>208</v>
      </c>
      <c r="V47" s="100" t="s">
        <v>209</v>
      </c>
      <c r="W47" s="80"/>
      <c r="X47" s="86"/>
      <c r="Y47" s="79"/>
    </row>
    <row r="48" spans="1:33" ht="19.5" customHeight="1" x14ac:dyDescent="0.2">
      <c r="A48" s="108"/>
      <c r="B48" s="108"/>
      <c r="C48" s="108"/>
      <c r="D48" s="108"/>
      <c r="E48" s="108"/>
      <c r="F48" s="108"/>
      <c r="G48" s="412"/>
      <c r="H48" s="310"/>
      <c r="I48" s="108"/>
      <c r="J48" s="108"/>
      <c r="K48" s="110"/>
      <c r="L48" s="110"/>
      <c r="M48" s="110"/>
      <c r="N48" s="86"/>
      <c r="O48" s="407"/>
      <c r="P48" s="408"/>
      <c r="Q48" s="409"/>
      <c r="R48" s="80"/>
      <c r="S48" s="79"/>
      <c r="T48" s="79"/>
      <c r="U48" s="104"/>
      <c r="V48" s="79"/>
      <c r="W48" s="80"/>
      <c r="X48" s="86"/>
      <c r="Y48" s="79"/>
    </row>
    <row r="49" spans="1:25" ht="19.5" customHeight="1" x14ac:dyDescent="0.3">
      <c r="A49" s="108"/>
      <c r="B49" s="108"/>
      <c r="C49" s="108"/>
      <c r="D49" s="108"/>
      <c r="E49" s="108"/>
      <c r="F49" s="108"/>
      <c r="G49" s="412"/>
      <c r="H49" s="310"/>
      <c r="I49" s="108"/>
      <c r="J49" s="108"/>
      <c r="K49" s="110"/>
      <c r="L49" s="110"/>
      <c r="M49" s="110"/>
      <c r="N49" s="86"/>
      <c r="O49" s="407"/>
      <c r="P49" s="408"/>
      <c r="Q49" s="409"/>
      <c r="R49" s="79"/>
      <c r="S49" s="413" t="s">
        <v>210</v>
      </c>
      <c r="T49" s="414"/>
      <c r="U49" s="116"/>
      <c r="V49" s="117" t="s">
        <v>211</v>
      </c>
      <c r="W49" s="80"/>
      <c r="X49" s="79"/>
      <c r="Y49" s="79"/>
    </row>
    <row r="50" spans="1:25" ht="19.5" customHeight="1" x14ac:dyDescent="0.2">
      <c r="A50" s="108"/>
      <c r="B50" s="108"/>
      <c r="C50" s="108"/>
      <c r="D50" s="108"/>
      <c r="E50" s="108"/>
      <c r="F50" s="108"/>
      <c r="G50" s="412"/>
      <c r="H50" s="310"/>
      <c r="I50" s="108"/>
      <c r="J50" s="108"/>
      <c r="K50" s="110"/>
      <c r="L50" s="110"/>
      <c r="M50" s="110"/>
      <c r="N50" s="86"/>
      <c r="O50" s="407"/>
      <c r="P50" s="408"/>
      <c r="Q50" s="409"/>
      <c r="R50" s="79"/>
      <c r="S50" s="79"/>
      <c r="T50" s="79"/>
      <c r="U50" s="90"/>
      <c r="V50" s="79"/>
      <c r="W50" s="80"/>
      <c r="X50" s="79"/>
      <c r="Y50" s="79"/>
    </row>
    <row r="51" spans="1:25" ht="19.5" customHeight="1" x14ac:dyDescent="0.25">
      <c r="A51" s="108"/>
      <c r="B51" s="108"/>
      <c r="C51" s="108"/>
      <c r="D51" s="108"/>
      <c r="E51" s="108"/>
      <c r="F51" s="108"/>
      <c r="G51" s="412"/>
      <c r="H51" s="310"/>
      <c r="I51" s="108"/>
      <c r="J51" s="108"/>
      <c r="K51" s="110"/>
      <c r="L51" s="110"/>
      <c r="M51" s="110"/>
      <c r="N51" s="86"/>
      <c r="O51" s="407"/>
      <c r="P51" s="408"/>
      <c r="Q51" s="409"/>
      <c r="R51" s="79"/>
      <c r="S51" s="413" t="s">
        <v>212</v>
      </c>
      <c r="T51" s="414"/>
      <c r="U51" s="114" t="s">
        <v>213</v>
      </c>
      <c r="V51" s="79"/>
      <c r="W51" s="80"/>
      <c r="X51" s="79"/>
      <c r="Y51" s="79"/>
    </row>
    <row r="52" spans="1:25" ht="19.5" customHeight="1" x14ac:dyDescent="0.2">
      <c r="A52" s="108"/>
      <c r="B52" s="108"/>
      <c r="C52" s="108"/>
      <c r="D52" s="108"/>
      <c r="E52" s="108"/>
      <c r="F52" s="108"/>
      <c r="G52" s="412"/>
      <c r="H52" s="310"/>
      <c r="I52" s="108"/>
      <c r="J52" s="108"/>
      <c r="K52" s="110"/>
      <c r="L52" s="110"/>
      <c r="M52" s="110"/>
      <c r="N52" s="86"/>
      <c r="O52" s="407"/>
      <c r="P52" s="408"/>
      <c r="Q52" s="409"/>
      <c r="R52" s="79"/>
      <c r="S52" s="79"/>
      <c r="T52" s="79"/>
      <c r="U52" s="79"/>
      <c r="V52" s="79"/>
      <c r="W52" s="80"/>
      <c r="X52" s="79"/>
      <c r="Y52" s="79"/>
    </row>
    <row r="53" spans="1:25" ht="19.5" customHeight="1" x14ac:dyDescent="0.2">
      <c r="A53" s="118"/>
      <c r="B53" s="118"/>
      <c r="C53" s="118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79"/>
      <c r="Y53" s="79"/>
    </row>
    <row r="54" spans="1:25" ht="19.5" customHeight="1" x14ac:dyDescent="0.25">
      <c r="A54" s="119" t="s">
        <v>214</v>
      </c>
      <c r="B54" s="424"/>
      <c r="C54" s="310"/>
      <c r="D54" s="86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413" t="s">
        <v>215</v>
      </c>
      <c r="P54" s="414"/>
      <c r="Q54" s="425"/>
      <c r="R54" s="79"/>
      <c r="S54" s="120" t="s">
        <v>216</v>
      </c>
      <c r="T54" s="120" t="s">
        <v>217</v>
      </c>
      <c r="U54" s="121" t="s">
        <v>218</v>
      </c>
      <c r="V54" s="120" t="s">
        <v>219</v>
      </c>
      <c r="W54" s="122" t="s">
        <v>220</v>
      </c>
      <c r="X54" s="79"/>
      <c r="Y54" s="79"/>
    </row>
    <row r="55" spans="1:25" ht="19.5" customHeight="1" x14ac:dyDescent="0.2">
      <c r="A55" s="118"/>
      <c r="B55" s="118"/>
      <c r="C55" s="118"/>
      <c r="D55" s="104"/>
      <c r="E55" s="104"/>
      <c r="F55" s="104"/>
      <c r="G55" s="79"/>
      <c r="H55" s="79"/>
      <c r="I55" s="79"/>
      <c r="J55" s="79"/>
      <c r="K55" s="79"/>
      <c r="L55" s="79"/>
      <c r="M55" s="79"/>
      <c r="N55" s="79"/>
      <c r="O55" s="407"/>
      <c r="P55" s="408"/>
      <c r="Q55" s="409"/>
      <c r="R55" s="79"/>
      <c r="S55" s="114"/>
      <c r="T55" s="123"/>
      <c r="U55" s="124">
        <v>0</v>
      </c>
      <c r="V55" s="114"/>
      <c r="W55" s="125">
        <v>0</v>
      </c>
      <c r="X55" s="79"/>
      <c r="Y55" s="79"/>
    </row>
    <row r="56" spans="1:25" ht="24.75" customHeight="1" x14ac:dyDescent="0.2">
      <c r="A56" s="108" t="s">
        <v>221</v>
      </c>
      <c r="B56" s="426"/>
      <c r="C56" s="310"/>
      <c r="D56" s="108" t="s">
        <v>222</v>
      </c>
      <c r="E56" s="415"/>
      <c r="F56" s="310"/>
      <c r="G56" s="86"/>
      <c r="H56" s="79"/>
      <c r="I56" s="79"/>
      <c r="J56" s="79"/>
      <c r="K56" s="79"/>
      <c r="L56" s="79"/>
      <c r="M56" s="79"/>
      <c r="N56" s="79"/>
      <c r="O56" s="407"/>
      <c r="P56" s="408"/>
      <c r="Q56" s="409"/>
      <c r="R56" s="79"/>
      <c r="S56" s="114"/>
      <c r="T56" s="123"/>
      <c r="U56" s="124" t="s">
        <v>165</v>
      </c>
      <c r="V56" s="114"/>
      <c r="W56" s="123"/>
      <c r="X56" s="79"/>
      <c r="Y56" s="79"/>
    </row>
    <row r="57" spans="1:25" ht="19.5" customHeight="1" x14ac:dyDescent="0.2">
      <c r="A57" s="108" t="s">
        <v>223</v>
      </c>
      <c r="B57" s="427"/>
      <c r="C57" s="310"/>
      <c r="D57" s="108" t="s">
        <v>224</v>
      </c>
      <c r="E57" s="415"/>
      <c r="F57" s="310"/>
      <c r="G57" s="86"/>
      <c r="H57" s="79"/>
      <c r="I57" s="79"/>
      <c r="J57" s="79"/>
      <c r="K57" s="79"/>
      <c r="L57" s="79"/>
      <c r="M57" s="79"/>
      <c r="N57" s="79"/>
      <c r="O57" s="407"/>
      <c r="P57" s="408"/>
      <c r="Q57" s="409"/>
      <c r="R57" s="79"/>
      <c r="S57" s="114"/>
      <c r="T57" s="123"/>
      <c r="U57" s="124" t="s">
        <v>166</v>
      </c>
      <c r="V57" s="114"/>
      <c r="W57" s="123"/>
      <c r="X57" s="79"/>
      <c r="Y57" s="79"/>
    </row>
    <row r="58" spans="1:25" ht="19.5" customHeight="1" x14ac:dyDescent="0.2">
      <c r="A58" s="108" t="s">
        <v>225</v>
      </c>
      <c r="B58" s="428"/>
      <c r="C58" s="310"/>
      <c r="D58" s="108" t="s">
        <v>226</v>
      </c>
      <c r="E58" s="415"/>
      <c r="F58" s="310"/>
      <c r="G58" s="86"/>
      <c r="H58" s="79"/>
      <c r="I58" s="79"/>
      <c r="J58" s="79"/>
      <c r="K58" s="79"/>
      <c r="L58" s="79"/>
      <c r="M58" s="79"/>
      <c r="N58" s="79"/>
      <c r="O58" s="407"/>
      <c r="P58" s="408"/>
      <c r="Q58" s="409"/>
      <c r="R58" s="79"/>
      <c r="S58" s="114"/>
      <c r="T58" s="123"/>
      <c r="U58" s="124" t="s">
        <v>169</v>
      </c>
      <c r="V58" s="114"/>
      <c r="W58" s="123"/>
      <c r="X58" s="79"/>
      <c r="Y58" s="79"/>
    </row>
    <row r="59" spans="1:25" ht="19.5" customHeight="1" x14ac:dyDescent="0.2">
      <c r="A59" s="90"/>
      <c r="B59" s="90"/>
      <c r="C59" s="90"/>
      <c r="D59" s="90"/>
      <c r="E59" s="90"/>
      <c r="F59" s="90"/>
      <c r="G59" s="79"/>
      <c r="H59" s="79"/>
      <c r="I59" s="79"/>
      <c r="J59" s="79"/>
      <c r="K59" s="79"/>
      <c r="L59" s="79"/>
      <c r="M59" s="79"/>
      <c r="N59" s="79"/>
      <c r="O59" s="407"/>
      <c r="P59" s="408"/>
      <c r="Q59" s="409"/>
      <c r="R59" s="79"/>
      <c r="S59" s="114"/>
      <c r="T59" s="123"/>
      <c r="U59" s="124" t="s">
        <v>174</v>
      </c>
      <c r="V59" s="114"/>
      <c r="W59" s="123"/>
      <c r="X59" s="79"/>
      <c r="Y59" s="79"/>
    </row>
    <row r="60" spans="1:25" ht="19.5" customHeight="1" x14ac:dyDescent="0.25">
      <c r="A60" s="421" t="s">
        <v>227</v>
      </c>
      <c r="B60" s="422"/>
      <c r="C60" s="422"/>
      <c r="D60" s="422"/>
      <c r="E60" s="422"/>
      <c r="F60" s="422"/>
      <c r="G60" s="422"/>
      <c r="H60" s="422"/>
      <c r="I60" s="422"/>
      <c r="J60" s="423"/>
      <c r="K60" s="79"/>
      <c r="L60" s="79"/>
      <c r="M60" s="79"/>
      <c r="N60" s="79"/>
      <c r="O60" s="407"/>
      <c r="P60" s="408"/>
      <c r="Q60" s="409"/>
      <c r="R60" s="79"/>
      <c r="S60" s="114"/>
      <c r="T60" s="123"/>
      <c r="U60" s="124" t="s">
        <v>181</v>
      </c>
      <c r="V60" s="114"/>
      <c r="W60" s="123"/>
      <c r="X60" s="79"/>
      <c r="Y60" s="79"/>
    </row>
    <row r="61" spans="1:25" ht="19.5" customHeight="1" x14ac:dyDescent="0.2">
      <c r="A61" s="126" t="s">
        <v>228</v>
      </c>
      <c r="B61" s="415"/>
      <c r="C61" s="310"/>
      <c r="D61" s="415"/>
      <c r="E61" s="309"/>
      <c r="F61" s="309"/>
      <c r="G61" s="309"/>
      <c r="H61" s="309"/>
      <c r="I61" s="309"/>
      <c r="J61" s="310"/>
      <c r="K61" s="416" t="s">
        <v>692</v>
      </c>
      <c r="L61" s="417"/>
      <c r="M61" s="79"/>
      <c r="N61" s="79"/>
      <c r="O61" s="407"/>
      <c r="P61" s="408"/>
      <c r="Q61" s="409"/>
      <c r="R61" s="79"/>
      <c r="S61" s="114"/>
      <c r="T61" s="123"/>
      <c r="U61" s="124" t="s">
        <v>182</v>
      </c>
      <c r="V61" s="114"/>
      <c r="W61" s="123"/>
      <c r="X61" s="79"/>
      <c r="Y61" s="79"/>
    </row>
    <row r="62" spans="1:25" ht="19.5" customHeight="1" x14ac:dyDescent="0.2">
      <c r="A62" s="127" t="s">
        <v>229</v>
      </c>
      <c r="B62" s="415"/>
      <c r="C62" s="310"/>
      <c r="D62" s="415"/>
      <c r="E62" s="309"/>
      <c r="F62" s="309"/>
      <c r="G62" s="309"/>
      <c r="H62" s="309"/>
      <c r="I62" s="309"/>
      <c r="J62" s="310"/>
      <c r="K62" s="381"/>
      <c r="L62" s="418"/>
      <c r="M62" s="79"/>
      <c r="N62" s="79"/>
      <c r="O62" s="407"/>
      <c r="P62" s="408"/>
      <c r="Q62" s="409"/>
      <c r="R62" s="79"/>
      <c r="S62" s="114"/>
      <c r="T62" s="123"/>
      <c r="U62" s="124" t="s">
        <v>184</v>
      </c>
      <c r="V62" s="114"/>
      <c r="W62" s="123"/>
      <c r="X62" s="79"/>
      <c r="Y62" s="79"/>
    </row>
    <row r="63" spans="1:25" ht="19.5" customHeight="1" x14ac:dyDescent="0.2">
      <c r="A63" s="128" t="s">
        <v>230</v>
      </c>
      <c r="B63" s="415"/>
      <c r="C63" s="310"/>
      <c r="D63" s="415"/>
      <c r="E63" s="309"/>
      <c r="F63" s="309"/>
      <c r="G63" s="309"/>
      <c r="H63" s="309"/>
      <c r="I63" s="309"/>
      <c r="J63" s="310"/>
      <c r="K63" s="381"/>
      <c r="L63" s="418"/>
      <c r="M63" s="79"/>
      <c r="N63" s="79"/>
      <c r="O63" s="407"/>
      <c r="P63" s="408"/>
      <c r="Q63" s="409"/>
      <c r="R63" s="79"/>
      <c r="S63" s="114"/>
      <c r="T63" s="123"/>
      <c r="U63" s="124" t="s">
        <v>185</v>
      </c>
      <c r="V63" s="114"/>
      <c r="W63" s="123"/>
      <c r="X63" s="79"/>
      <c r="Y63" s="79"/>
    </row>
    <row r="64" spans="1:25" ht="19.5" customHeight="1" x14ac:dyDescent="0.2">
      <c r="A64" s="129" t="s">
        <v>231</v>
      </c>
      <c r="B64" s="415"/>
      <c r="C64" s="310"/>
      <c r="D64" s="415"/>
      <c r="E64" s="309"/>
      <c r="F64" s="309"/>
      <c r="G64" s="309"/>
      <c r="H64" s="309"/>
      <c r="I64" s="309"/>
      <c r="J64" s="310"/>
      <c r="K64" s="419"/>
      <c r="L64" s="420"/>
      <c r="M64" s="79"/>
      <c r="N64" s="79"/>
      <c r="O64" s="407"/>
      <c r="P64" s="408"/>
      <c r="Q64" s="409"/>
      <c r="R64" s="79"/>
      <c r="S64" s="114"/>
      <c r="T64" s="123"/>
      <c r="U64" s="124" t="s">
        <v>187</v>
      </c>
      <c r="V64" s="114"/>
      <c r="W64" s="123"/>
      <c r="X64" s="79"/>
      <c r="Y64" s="79"/>
    </row>
    <row r="65" spans="1:25" ht="19.5" customHeight="1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79"/>
      <c r="Y65" s="79"/>
    </row>
    <row r="66" spans="1:25" ht="15.75" customHeight="1" x14ac:dyDescent="0.2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79"/>
      <c r="Y66" s="79"/>
    </row>
    <row r="67" spans="1:25" ht="15.75" customHeight="1" x14ac:dyDescent="0.2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79"/>
      <c r="Y67" s="79"/>
    </row>
    <row r="68" spans="1:25" ht="15.75" customHeight="1" x14ac:dyDescent="0.2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79"/>
      <c r="Y68" s="79"/>
    </row>
    <row r="69" spans="1:25" ht="15.75" customHeight="1" x14ac:dyDescent="0.2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298"/>
      <c r="X69" s="104"/>
      <c r="Y69" s="104"/>
    </row>
    <row r="70" spans="1:25" ht="15.75" customHeight="1" x14ac:dyDescent="0.2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5"/>
      <c r="Y70" s="285"/>
    </row>
    <row r="71" spans="1:25" ht="12.75" customHeight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</row>
    <row r="72" spans="1:25" ht="12.75" customHeight="1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</row>
    <row r="73" spans="1:25" ht="12.75" customHeight="1" x14ac:dyDescent="0.2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</row>
    <row r="74" spans="1:25" ht="12.75" customHeight="1" x14ac:dyDescent="0.2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</row>
    <row r="75" spans="1:25" ht="12.75" customHeight="1" x14ac:dyDescent="0.2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</row>
    <row r="76" spans="1:25" ht="12.75" customHeight="1" x14ac:dyDescent="0.2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</row>
    <row r="77" spans="1:25" ht="12.75" customHeight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</row>
    <row r="78" spans="1:25" ht="12.75" customHeight="1" x14ac:dyDescent="0.2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</row>
    <row r="79" spans="1:25" ht="12.75" customHeight="1" x14ac:dyDescent="0.2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</row>
    <row r="80" spans="1:25" ht="12.75" customHeight="1" x14ac:dyDescent="0.2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</row>
    <row r="81" spans="1:25" ht="12.75" customHeight="1" x14ac:dyDescent="0.2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</row>
    <row r="82" spans="1:25" ht="12.75" customHeight="1" x14ac:dyDescent="0.2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</row>
    <row r="83" spans="1:25" ht="12.75" customHeight="1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</row>
    <row r="84" spans="1:25" ht="12.75" customHeight="1" x14ac:dyDescent="0.2"/>
    <row r="85" spans="1:25" ht="12.75" customHeight="1" x14ac:dyDescent="0.2"/>
    <row r="86" spans="1:25" ht="12.75" customHeight="1" x14ac:dyDescent="0.2"/>
    <row r="87" spans="1:25" ht="12.75" customHeight="1" x14ac:dyDescent="0.2"/>
    <row r="88" spans="1:25" ht="12.75" customHeight="1" x14ac:dyDescent="0.2"/>
    <row r="89" spans="1:25" ht="12.75" customHeight="1" x14ac:dyDescent="0.2"/>
    <row r="90" spans="1:25" ht="12.75" customHeight="1" x14ac:dyDescent="0.2"/>
    <row r="91" spans="1:25" ht="12.75" customHeight="1" x14ac:dyDescent="0.2"/>
    <row r="92" spans="1:25" ht="12.75" customHeight="1" x14ac:dyDescent="0.2"/>
    <row r="93" spans="1:25" ht="12.75" customHeight="1" x14ac:dyDescent="0.2"/>
    <row r="94" spans="1:25" ht="12.75" customHeight="1" x14ac:dyDescent="0.2"/>
    <row r="95" spans="1:25" ht="12.75" customHeight="1" x14ac:dyDescent="0.2"/>
    <row r="96" spans="1:25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70">
    <mergeCell ref="G31:H31"/>
    <mergeCell ref="I31:J31"/>
    <mergeCell ref="E20:G20"/>
    <mergeCell ref="A21:G21"/>
    <mergeCell ref="A22:G22"/>
    <mergeCell ref="A24:C24"/>
    <mergeCell ref="E24:G24"/>
    <mergeCell ref="A25:C25"/>
    <mergeCell ref="AB29:AD30"/>
    <mergeCell ref="R31:R32"/>
    <mergeCell ref="S31:U32"/>
    <mergeCell ref="V31:X32"/>
    <mergeCell ref="Y31:AA32"/>
    <mergeCell ref="AB23:AD24"/>
    <mergeCell ref="G32:H32"/>
    <mergeCell ref="AB31:AD32"/>
    <mergeCell ref="AE31:AG32"/>
    <mergeCell ref="AB19:AD20"/>
    <mergeCell ref="AE19:AG20"/>
    <mergeCell ref="AB21:AD22"/>
    <mergeCell ref="AE21:AG22"/>
    <mergeCell ref="O23:Q23"/>
    <mergeCell ref="S23:U24"/>
    <mergeCell ref="V23:X24"/>
    <mergeCell ref="Y23:AA24"/>
    <mergeCell ref="O29:Q29"/>
    <mergeCell ref="R29:R30"/>
    <mergeCell ref="S29:U30"/>
    <mergeCell ref="V29:X30"/>
    <mergeCell ref="Y29:AA30"/>
    <mergeCell ref="O31:Q31"/>
    <mergeCell ref="O32:Q32"/>
    <mergeCell ref="O30:Q30"/>
    <mergeCell ref="R21:R22"/>
    <mergeCell ref="S21:U22"/>
    <mergeCell ref="V21:X22"/>
    <mergeCell ref="Y21:AA22"/>
    <mergeCell ref="O21:Q21"/>
    <mergeCell ref="O22:Q22"/>
    <mergeCell ref="AE29:AG30"/>
    <mergeCell ref="E25:G25"/>
    <mergeCell ref="A26:G26"/>
    <mergeCell ref="A27:G27"/>
    <mergeCell ref="A29:J29"/>
    <mergeCell ref="G30:H30"/>
    <mergeCell ref="AE23:AG24"/>
    <mergeCell ref="R27:R28"/>
    <mergeCell ref="S27:U28"/>
    <mergeCell ref="V27:X28"/>
    <mergeCell ref="Y27:AA28"/>
    <mergeCell ref="AB27:AD28"/>
    <mergeCell ref="AE27:AG28"/>
    <mergeCell ref="O28:Q28"/>
    <mergeCell ref="R23:R24"/>
    <mergeCell ref="R25:R26"/>
    <mergeCell ref="S25:U26"/>
    <mergeCell ref="V25:X26"/>
    <mergeCell ref="Y25:AA26"/>
    <mergeCell ref="AB25:AD26"/>
    <mergeCell ref="AE25:AG26"/>
    <mergeCell ref="O26:Q26"/>
    <mergeCell ref="O27:Q27"/>
    <mergeCell ref="O24:Q24"/>
    <mergeCell ref="AB17:AD18"/>
    <mergeCell ref="AE17:AG18"/>
    <mergeCell ref="E11:F11"/>
    <mergeCell ref="E12:F12"/>
    <mergeCell ref="A14:C14"/>
    <mergeCell ref="E14:G14"/>
    <mergeCell ref="A15:C15"/>
    <mergeCell ref="E15:G15"/>
    <mergeCell ref="C16:H16"/>
    <mergeCell ref="B11:C11"/>
    <mergeCell ref="G11:H11"/>
    <mergeCell ref="R11:R12"/>
    <mergeCell ref="S11:U12"/>
    <mergeCell ref="V11:X12"/>
    <mergeCell ref="B12:C12"/>
    <mergeCell ref="G12:H12"/>
    <mergeCell ref="AB13:AD14"/>
    <mergeCell ref="AE13:AG14"/>
    <mergeCell ref="O11:Q11"/>
    <mergeCell ref="O12:Q12"/>
    <mergeCell ref="C17:H17"/>
    <mergeCell ref="O17:Q17"/>
    <mergeCell ref="R17:R18"/>
    <mergeCell ref="S17:U18"/>
    <mergeCell ref="V17:X18"/>
    <mergeCell ref="Y17:AA18"/>
    <mergeCell ref="O18:Q18"/>
    <mergeCell ref="A16:B16"/>
    <mergeCell ref="A17:B17"/>
    <mergeCell ref="A19:C19"/>
    <mergeCell ref="E19:G19"/>
    <mergeCell ref="O19:Q19"/>
    <mergeCell ref="R19:R20"/>
    <mergeCell ref="S19:U20"/>
    <mergeCell ref="V19:X20"/>
    <mergeCell ref="Y19:AA20"/>
    <mergeCell ref="A20:C20"/>
    <mergeCell ref="O20:Q20"/>
    <mergeCell ref="Y11:AA12"/>
    <mergeCell ref="AB11:AD12"/>
    <mergeCell ref="AE11:AG12"/>
    <mergeCell ref="O14:Q14"/>
    <mergeCell ref="R15:R16"/>
    <mergeCell ref="S15:U16"/>
    <mergeCell ref="V15:X16"/>
    <mergeCell ref="Y15:AA16"/>
    <mergeCell ref="AB15:AD16"/>
    <mergeCell ref="AE15:AG16"/>
    <mergeCell ref="O15:Q15"/>
    <mergeCell ref="O16:Q16"/>
    <mergeCell ref="O13:Q13"/>
    <mergeCell ref="R13:R14"/>
    <mergeCell ref="S13:U14"/>
    <mergeCell ref="V13:X14"/>
    <mergeCell ref="Y13:AA14"/>
    <mergeCell ref="AB9:AD10"/>
    <mergeCell ref="AE9:AG10"/>
    <mergeCell ref="A4:F4"/>
    <mergeCell ref="A5:F5"/>
    <mergeCell ref="A7:H7"/>
    <mergeCell ref="A9:C9"/>
    <mergeCell ref="E9:G9"/>
    <mergeCell ref="A10:C10"/>
    <mergeCell ref="E10:G10"/>
    <mergeCell ref="O9:Q9"/>
    <mergeCell ref="R9:R10"/>
    <mergeCell ref="S9:U10"/>
    <mergeCell ref="V9:X10"/>
    <mergeCell ref="Y9:AA10"/>
    <mergeCell ref="O10:Q10"/>
    <mergeCell ref="AB2:AD2"/>
    <mergeCell ref="AE2:AG2"/>
    <mergeCell ref="AB3:AD4"/>
    <mergeCell ref="AE3:AG4"/>
    <mergeCell ref="J3:M3"/>
    <mergeCell ref="J4:M4"/>
    <mergeCell ref="J6:M6"/>
    <mergeCell ref="J7:M7"/>
    <mergeCell ref="O2:Q2"/>
    <mergeCell ref="O3:Q3"/>
    <mergeCell ref="S3:U4"/>
    <mergeCell ref="V3:X4"/>
    <mergeCell ref="Y3:AA4"/>
    <mergeCell ref="O4:Q4"/>
    <mergeCell ref="O5:Q5"/>
    <mergeCell ref="R3:R4"/>
    <mergeCell ref="R5:R6"/>
    <mergeCell ref="S5:U6"/>
    <mergeCell ref="V5:X6"/>
    <mergeCell ref="Y5:AA6"/>
    <mergeCell ref="AB5:AD6"/>
    <mergeCell ref="AE5:AG6"/>
    <mergeCell ref="AB7:AD8"/>
    <mergeCell ref="AE7:AG8"/>
    <mergeCell ref="A1:F1"/>
    <mergeCell ref="A2:F2"/>
    <mergeCell ref="S2:U2"/>
    <mergeCell ref="V2:X2"/>
    <mergeCell ref="Y2:AA2"/>
    <mergeCell ref="O6:Q6"/>
    <mergeCell ref="R7:R8"/>
    <mergeCell ref="S7:U8"/>
    <mergeCell ref="V7:X8"/>
    <mergeCell ref="Y7:AA8"/>
    <mergeCell ref="O7:Q7"/>
    <mergeCell ref="O8:Q8"/>
    <mergeCell ref="O60:Q60"/>
    <mergeCell ref="O61:Q61"/>
    <mergeCell ref="O62:Q62"/>
    <mergeCell ref="O63:Q63"/>
    <mergeCell ref="O64:Q64"/>
    <mergeCell ref="O49:Q49"/>
    <mergeCell ref="O50:Q50"/>
    <mergeCell ref="O55:Q55"/>
    <mergeCell ref="O56:Q56"/>
    <mergeCell ref="O57:Q57"/>
    <mergeCell ref="O58:Q58"/>
    <mergeCell ref="O59:Q59"/>
    <mergeCell ref="O52:Q52"/>
    <mergeCell ref="O54:Q54"/>
    <mergeCell ref="O47:Q47"/>
    <mergeCell ref="G48:H48"/>
    <mergeCell ref="O48:Q48"/>
    <mergeCell ref="G49:H49"/>
    <mergeCell ref="S49:T49"/>
    <mergeCell ref="G50:H50"/>
    <mergeCell ref="G51:H51"/>
    <mergeCell ref="O51:Q51"/>
    <mergeCell ref="S51:T51"/>
    <mergeCell ref="D64:J64"/>
    <mergeCell ref="B61:C61"/>
    <mergeCell ref="D61:J61"/>
    <mergeCell ref="K61:L64"/>
    <mergeCell ref="B62:C62"/>
    <mergeCell ref="D62:J62"/>
    <mergeCell ref="B63:C63"/>
    <mergeCell ref="D63:J63"/>
    <mergeCell ref="G37:H37"/>
    <mergeCell ref="G47:H47"/>
    <mergeCell ref="A60:J60"/>
    <mergeCell ref="G52:H52"/>
    <mergeCell ref="B54:C54"/>
    <mergeCell ref="B56:C56"/>
    <mergeCell ref="E56:F56"/>
    <mergeCell ref="B57:C57"/>
    <mergeCell ref="E57:F57"/>
    <mergeCell ref="B58:C58"/>
    <mergeCell ref="E58:F58"/>
    <mergeCell ref="B64:C64"/>
    <mergeCell ref="G38:H38"/>
    <mergeCell ref="G39:H39"/>
    <mergeCell ref="AB41:AD42"/>
    <mergeCell ref="AE41:AG42"/>
    <mergeCell ref="G46:H46"/>
    <mergeCell ref="O46:Q46"/>
    <mergeCell ref="S46:T46"/>
    <mergeCell ref="O44:Q44"/>
    <mergeCell ref="O45:Q45"/>
    <mergeCell ref="G40:H40"/>
    <mergeCell ref="G41:H41"/>
    <mergeCell ref="G42:H42"/>
    <mergeCell ref="G43:H43"/>
    <mergeCell ref="O43:Q43"/>
    <mergeCell ref="G44:H44"/>
    <mergeCell ref="G45:H45"/>
    <mergeCell ref="O41:Q41"/>
    <mergeCell ref="R41:R42"/>
    <mergeCell ref="S41:U42"/>
    <mergeCell ref="V41:X42"/>
    <mergeCell ref="Y41:AA42"/>
    <mergeCell ref="O42:Q42"/>
    <mergeCell ref="R37:R38"/>
    <mergeCell ref="G35:H35"/>
    <mergeCell ref="O35:Q35"/>
    <mergeCell ref="G36:H36"/>
    <mergeCell ref="AB33:AD34"/>
    <mergeCell ref="AE33:AG34"/>
    <mergeCell ref="G33:H33"/>
    <mergeCell ref="R33:R34"/>
    <mergeCell ref="S33:U34"/>
    <mergeCell ref="V33:X34"/>
    <mergeCell ref="Y33:AA34"/>
    <mergeCell ref="G34:H34"/>
    <mergeCell ref="R35:R36"/>
    <mergeCell ref="O36:Q36"/>
    <mergeCell ref="S37:U38"/>
    <mergeCell ref="V37:X38"/>
    <mergeCell ref="Y37:AA38"/>
    <mergeCell ref="AB37:AD38"/>
    <mergeCell ref="AE37:AG38"/>
    <mergeCell ref="O33:Q33"/>
    <mergeCell ref="O38:Q38"/>
    <mergeCell ref="R39:R40"/>
    <mergeCell ref="S39:U40"/>
    <mergeCell ref="V39:X40"/>
    <mergeCell ref="Y39:AA40"/>
    <mergeCell ref="AB39:AD40"/>
    <mergeCell ref="AE39:AG40"/>
    <mergeCell ref="O39:Q39"/>
    <mergeCell ref="O40:Q40"/>
    <mergeCell ref="O34:Q34"/>
    <mergeCell ref="S35:U36"/>
    <mergeCell ref="V35:X36"/>
    <mergeCell ref="Y35:AA36"/>
    <mergeCell ref="AB35:AD36"/>
    <mergeCell ref="AE35:AG36"/>
    <mergeCell ref="O37:Q37"/>
  </mergeCells>
  <conditionalFormatting sqref="G4">
    <cfRule type="expression" dxfId="22" priority="1">
      <formula>$G$4&lt;($A$4+1)</formula>
    </cfRule>
  </conditionalFormatting>
  <conditionalFormatting sqref="O3:Q3">
    <cfRule type="expression" dxfId="21" priority="2">
      <formula>AND($J$4&gt;0,$O$3="")</formula>
    </cfRule>
  </conditionalFormatting>
  <conditionalFormatting sqref="O4:Q4">
    <cfRule type="expression" dxfId="20" priority="3">
      <formula>AND($J$4&gt;1,$O$4="")</formula>
    </cfRule>
  </conditionalFormatting>
  <conditionalFormatting sqref="O5:Q5">
    <cfRule type="expression" dxfId="19" priority="4">
      <formula>AND($J$4&gt;2,$O$5="")</formula>
    </cfRule>
  </conditionalFormatting>
  <conditionalFormatting sqref="O6:Q6">
    <cfRule type="expression" dxfId="18" priority="5">
      <formula>AND($J$4&gt;3,$O$6="")</formula>
    </cfRule>
  </conditionalFormatting>
  <conditionalFormatting sqref="O7:Q7">
    <cfRule type="expression" dxfId="17" priority="6">
      <formula>AND($J$4&gt;4,$O$7="")</formula>
    </cfRule>
  </conditionalFormatting>
  <conditionalFormatting sqref="O8:Q8">
    <cfRule type="expression" dxfId="16" priority="7">
      <formula>AND($J$4&gt;5,$O$8="")</formula>
    </cfRule>
  </conditionalFormatting>
  <conditionalFormatting sqref="O9:Q9">
    <cfRule type="expression" dxfId="15" priority="8">
      <formula>AND($J$4&gt;6,$O$9="")</formula>
    </cfRule>
  </conditionalFormatting>
  <conditionalFormatting sqref="O10:Q10">
    <cfRule type="expression" dxfId="14" priority="9">
      <formula>AND($J$4&gt;7,$O$10="")</formula>
    </cfRule>
  </conditionalFormatting>
  <conditionalFormatting sqref="O11:Q11">
    <cfRule type="expression" dxfId="13" priority="10">
      <formula>AND($J$4&gt;8,$O$11="")</formula>
    </cfRule>
  </conditionalFormatting>
  <conditionalFormatting sqref="O12:Q12">
    <cfRule type="expression" dxfId="12" priority="11">
      <formula>AND($J$4&gt;9,$O$12="")</formula>
    </cfRule>
  </conditionalFormatting>
  <conditionalFormatting sqref="O13:Q13">
    <cfRule type="expression" dxfId="11" priority="12">
      <formula>AND($J$4&gt;10,$O$13="")</formula>
    </cfRule>
  </conditionalFormatting>
  <conditionalFormatting sqref="O14:Q14">
    <cfRule type="expression" dxfId="10" priority="13">
      <formula>AND($J$4&gt;11,$O$14="")</formula>
    </cfRule>
  </conditionalFormatting>
  <conditionalFormatting sqref="O15:Q15">
    <cfRule type="expression" dxfId="9" priority="14">
      <formula>AND($J$4&gt;12,$O$15="")</formula>
    </cfRule>
  </conditionalFormatting>
  <conditionalFormatting sqref="O16:Q16">
    <cfRule type="expression" dxfId="8" priority="15">
      <formula>AND($J$4&gt;13,$O$16="")</formula>
    </cfRule>
  </conditionalFormatting>
  <conditionalFormatting sqref="O17:Q17">
    <cfRule type="expression" dxfId="7" priority="16">
      <formula>AND($J$4&gt;14,$O$17="")</formula>
    </cfRule>
  </conditionalFormatting>
  <conditionalFormatting sqref="O18:Q18">
    <cfRule type="expression" dxfId="6" priority="17">
      <formula>AND($J$4&gt;15,$O$18="")</formula>
    </cfRule>
  </conditionalFormatting>
  <conditionalFormatting sqref="O19:Q19">
    <cfRule type="expression" dxfId="5" priority="18">
      <formula>AND($J$4&gt;16,$O$19="")</formula>
    </cfRule>
  </conditionalFormatting>
  <conditionalFormatting sqref="O20:Q20">
    <cfRule type="expression" dxfId="4" priority="19">
      <formula>AND($J$4&gt;17,$O$20="")</formula>
    </cfRule>
  </conditionalFormatting>
  <conditionalFormatting sqref="O21:Q21">
    <cfRule type="expression" dxfId="3" priority="20">
      <formula>AND($J$4&gt;18,$O$21="")</formula>
    </cfRule>
  </conditionalFormatting>
  <conditionalFormatting sqref="O22:Q22">
    <cfRule type="expression" dxfId="2" priority="21">
      <formula>AND($J$4&gt;19,$O$22="")</formula>
    </cfRule>
  </conditionalFormatting>
  <conditionalFormatting sqref="O23:Q23">
    <cfRule type="expression" dxfId="1" priority="22">
      <formula>AND($J$4&gt;20,$O$23="")</formula>
    </cfRule>
  </conditionalFormatting>
  <conditionalFormatting sqref="O24:Q24">
    <cfRule type="expression" dxfId="0" priority="23">
      <formula>AND($J$4&gt;21,$O$24="")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Tablas!$D$199:$I$199</xm:f>
          </x14:formula1>
          <xm:sqref>U46</xm:sqref>
        </x14:dataValidation>
        <x14:dataValidation type="list" allowBlank="1" showInputMessage="1" showErrorMessage="1" prompt="Escoge Clase Lanzadora de Conjuros" xr:uid="{00000000-0002-0000-0100-000001000000}">
          <x14:formula1>
            <xm:f>Tablas!$A$11:$A$27</xm:f>
          </x14:formula1>
          <xm:sqref>U51</xm:sqref>
        </x14:dataValidation>
        <x14:dataValidation type="list" allowBlank="1" showErrorMessage="1" xr:uid="{00000000-0002-0000-0100-000002000000}">
          <x14:formula1>
            <xm:f>Tablas!$J$293:$J$296</xm:f>
          </x14:formula1>
          <xm:sqref>D10</xm:sqref>
        </x14:dataValidation>
        <x14:dataValidation type="list" allowBlank="1" showErrorMessage="1" xr:uid="{00000000-0002-0000-0100-000003000000}">
          <x14:formula1>
            <xm:f>'Equipo mundano'!$A$7:$A$10</xm:f>
          </x14:formula1>
          <xm:sqref>G31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opLeftCell="A4" workbookViewId="0"/>
  </sheetViews>
  <sheetFormatPr baseColWidth="10" defaultColWidth="12.5703125" defaultRowHeight="15" customHeight="1" x14ac:dyDescent="0.2"/>
  <cols>
    <col min="1" max="2" width="17.42578125" customWidth="1"/>
    <col min="3" max="10" width="28.5703125" customWidth="1"/>
    <col min="11" max="30" width="17.42578125" customWidth="1"/>
  </cols>
  <sheetData>
    <row r="1" spans="1:30" ht="19.5" customHeight="1" x14ac:dyDescent="0.2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30" ht="19.5" customHeight="1" x14ac:dyDescent="0.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30" ht="19.5" customHeight="1" x14ac:dyDescent="0.2">
      <c r="A3" s="356" t="s">
        <v>232</v>
      </c>
      <c r="B3" s="307"/>
      <c r="C3" s="449" t="s">
        <v>233</v>
      </c>
      <c r="D3" s="309"/>
      <c r="E3" s="309"/>
      <c r="F3" s="309"/>
      <c r="G3" s="309"/>
      <c r="H3" s="309"/>
      <c r="I3" s="309"/>
      <c r="J3" s="310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30" ht="19.5" customHeight="1" x14ac:dyDescent="0.2">
      <c r="A4" s="449" t="s">
        <v>234</v>
      </c>
      <c r="B4" s="310"/>
      <c r="C4" s="130" t="s">
        <v>235</v>
      </c>
      <c r="D4" s="131" t="s">
        <v>236</v>
      </c>
      <c r="E4" s="132" t="s">
        <v>237</v>
      </c>
      <c r="F4" s="133" t="s">
        <v>238</v>
      </c>
      <c r="G4" s="134" t="s">
        <v>239</v>
      </c>
      <c r="H4" s="135" t="s">
        <v>240</v>
      </c>
      <c r="I4" s="136" t="s">
        <v>241</v>
      </c>
      <c r="J4" s="137" t="s">
        <v>242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30" ht="19.5" customHeight="1" x14ac:dyDescent="0.2">
      <c r="A5" s="62"/>
      <c r="B5" s="62"/>
      <c r="C5" s="138"/>
      <c r="D5" s="139"/>
      <c r="E5" s="140"/>
      <c r="F5" s="141"/>
      <c r="G5" s="142"/>
      <c r="H5" s="143"/>
      <c r="I5" s="144"/>
      <c r="J5" s="145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30" ht="19.5" customHeight="1" x14ac:dyDescent="0.2">
      <c r="A6" s="62"/>
      <c r="B6" s="62"/>
      <c r="C6" s="138"/>
      <c r="D6" s="139"/>
      <c r="E6" s="140"/>
      <c r="F6" s="141"/>
      <c r="G6" s="142"/>
      <c r="H6" s="143"/>
      <c r="I6" s="144"/>
      <c r="J6" s="145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0" ht="19.5" customHeight="1" x14ac:dyDescent="0.2">
      <c r="A7" s="62"/>
      <c r="B7" s="62"/>
      <c r="C7" s="138"/>
      <c r="D7" s="139"/>
      <c r="E7" s="140"/>
      <c r="F7" s="141"/>
      <c r="G7" s="142"/>
      <c r="H7" s="143"/>
      <c r="I7" s="144"/>
      <c r="J7" s="145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30" ht="19.5" customHeight="1" x14ac:dyDescent="0.2">
      <c r="A8" s="62"/>
      <c r="B8" s="62"/>
      <c r="C8" s="138"/>
      <c r="D8" s="139"/>
      <c r="E8" s="140"/>
      <c r="F8" s="141"/>
      <c r="G8" s="142"/>
      <c r="H8" s="143"/>
      <c r="I8" s="144"/>
      <c r="J8" s="145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30" ht="19.5" customHeight="1" x14ac:dyDescent="0.2">
      <c r="A9" s="62"/>
      <c r="B9" s="62"/>
      <c r="C9" s="138"/>
      <c r="D9" s="139"/>
      <c r="E9" s="140"/>
      <c r="F9" s="141"/>
      <c r="G9" s="142"/>
      <c r="H9" s="143"/>
      <c r="I9" s="144"/>
      <c r="J9" s="145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13"/>
      <c r="AB9" s="13"/>
      <c r="AC9" s="13"/>
      <c r="AD9" s="13"/>
    </row>
    <row r="10" spans="1:30" ht="19.5" customHeight="1" x14ac:dyDescent="0.2">
      <c r="A10" s="62"/>
      <c r="B10" s="62"/>
      <c r="C10" s="138"/>
      <c r="D10" s="139"/>
      <c r="E10" s="140"/>
      <c r="F10" s="141"/>
      <c r="G10" s="142"/>
      <c r="H10" s="143"/>
      <c r="I10" s="144"/>
      <c r="J10" s="145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13"/>
      <c r="AB10" s="13"/>
      <c r="AC10" s="13"/>
      <c r="AD10" s="13"/>
    </row>
    <row r="11" spans="1:30" ht="19.5" customHeight="1" x14ac:dyDescent="0.2">
      <c r="A11" s="62"/>
      <c r="B11" s="62"/>
      <c r="C11" s="138"/>
      <c r="D11" s="139"/>
      <c r="E11" s="140"/>
      <c r="F11" s="141"/>
      <c r="G11" s="142"/>
      <c r="H11" s="143"/>
      <c r="I11" s="144"/>
      <c r="J11" s="145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13"/>
      <c r="AB11" s="13"/>
      <c r="AC11" s="13"/>
      <c r="AD11" s="13"/>
    </row>
    <row r="12" spans="1:30" ht="19.5" customHeight="1" x14ac:dyDescent="0.2">
      <c r="A12" s="62"/>
      <c r="B12" s="62"/>
      <c r="C12" s="138"/>
      <c r="D12" s="139"/>
      <c r="E12" s="140"/>
      <c r="F12" s="141"/>
      <c r="G12" s="142"/>
      <c r="H12" s="143"/>
      <c r="I12" s="144"/>
      <c r="J12" s="145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30" ht="19.5" customHeight="1" x14ac:dyDescent="0.2">
      <c r="A13" s="62"/>
      <c r="B13" s="62"/>
      <c r="C13" s="138"/>
      <c r="D13" s="139"/>
      <c r="E13" s="140"/>
      <c r="F13" s="141"/>
      <c r="G13" s="142"/>
      <c r="H13" s="143"/>
      <c r="I13" s="144"/>
      <c r="J13" s="145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30" ht="19.5" customHeight="1" x14ac:dyDescent="0.2">
      <c r="A14" s="62"/>
      <c r="B14" s="62"/>
      <c r="C14" s="138"/>
      <c r="D14" s="139"/>
      <c r="E14" s="140"/>
      <c r="F14" s="141"/>
      <c r="G14" s="142"/>
      <c r="H14" s="143"/>
      <c r="I14" s="144"/>
      <c r="J14" s="145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30" ht="19.5" customHeight="1" x14ac:dyDescent="0.2">
      <c r="A15" s="449" t="s">
        <v>243</v>
      </c>
      <c r="B15" s="310"/>
      <c r="C15" s="130" t="s">
        <v>235</v>
      </c>
      <c r="D15" s="131" t="s">
        <v>236</v>
      </c>
      <c r="E15" s="132" t="s">
        <v>237</v>
      </c>
      <c r="F15" s="133" t="s">
        <v>238</v>
      </c>
      <c r="G15" s="134" t="s">
        <v>239</v>
      </c>
      <c r="H15" s="135" t="s">
        <v>240</v>
      </c>
      <c r="I15" s="136" t="s">
        <v>241</v>
      </c>
      <c r="J15" s="137" t="s">
        <v>242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30" ht="19.5" customHeight="1" x14ac:dyDescent="0.2">
      <c r="A16" s="62"/>
      <c r="B16" s="62"/>
      <c r="C16" s="138"/>
      <c r="D16" s="139"/>
      <c r="E16" s="140"/>
      <c r="F16" s="141"/>
      <c r="G16" s="142"/>
      <c r="H16" s="143"/>
      <c r="I16" s="144"/>
      <c r="J16" s="145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30" ht="19.5" customHeight="1" x14ac:dyDescent="0.2">
      <c r="A17" s="62"/>
      <c r="B17" s="62"/>
      <c r="C17" s="138"/>
      <c r="D17" s="139"/>
      <c r="E17" s="140"/>
      <c r="F17" s="141"/>
      <c r="G17" s="142"/>
      <c r="H17" s="143"/>
      <c r="I17" s="144"/>
      <c r="J17" s="145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30" ht="19.5" customHeight="1" x14ac:dyDescent="0.2">
      <c r="A18" s="62"/>
      <c r="B18" s="62"/>
      <c r="C18" s="138"/>
      <c r="D18" s="139"/>
      <c r="E18" s="140"/>
      <c r="F18" s="141"/>
      <c r="G18" s="142"/>
      <c r="H18" s="143"/>
      <c r="I18" s="144"/>
      <c r="J18" s="145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30" ht="19.5" customHeight="1" x14ac:dyDescent="0.2">
      <c r="A19" s="62"/>
      <c r="B19" s="62"/>
      <c r="C19" s="138"/>
      <c r="D19" s="139"/>
      <c r="E19" s="140"/>
      <c r="F19" s="141"/>
      <c r="G19" s="142"/>
      <c r="H19" s="143"/>
      <c r="I19" s="144"/>
      <c r="J19" s="145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13"/>
      <c r="AB19" s="13"/>
      <c r="AC19" s="13"/>
      <c r="AD19" s="13"/>
    </row>
    <row r="20" spans="1:30" ht="19.5" customHeight="1" x14ac:dyDescent="0.2">
      <c r="A20" s="62"/>
      <c r="B20" s="62"/>
      <c r="C20" s="138"/>
      <c r="D20" s="139"/>
      <c r="E20" s="140"/>
      <c r="F20" s="141"/>
      <c r="G20" s="142"/>
      <c r="H20" s="143"/>
      <c r="I20" s="144"/>
      <c r="J20" s="145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13"/>
      <c r="AB20" s="13"/>
      <c r="AC20" s="13"/>
      <c r="AD20" s="13"/>
    </row>
    <row r="21" spans="1:30" ht="19.5" customHeight="1" x14ac:dyDescent="0.2">
      <c r="A21" s="62"/>
      <c r="B21" s="62"/>
      <c r="C21" s="138"/>
      <c r="D21" s="139"/>
      <c r="E21" s="140"/>
      <c r="F21" s="141"/>
      <c r="G21" s="142"/>
      <c r="H21" s="143"/>
      <c r="I21" s="144"/>
      <c r="J21" s="145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13"/>
      <c r="AB21" s="13"/>
      <c r="AC21" s="13"/>
      <c r="AD21" s="13"/>
    </row>
    <row r="22" spans="1:30" ht="19.5" customHeight="1" x14ac:dyDescent="0.2">
      <c r="A22" s="62"/>
      <c r="B22" s="62"/>
      <c r="C22" s="138"/>
      <c r="D22" s="139"/>
      <c r="E22" s="140"/>
      <c r="F22" s="141"/>
      <c r="G22" s="142"/>
      <c r="H22" s="143"/>
      <c r="I22" s="144"/>
      <c r="J22" s="145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30" ht="19.5" customHeight="1" x14ac:dyDescent="0.2">
      <c r="A23" s="62"/>
      <c r="B23" s="62"/>
      <c r="C23" s="138"/>
      <c r="D23" s="139"/>
      <c r="E23" s="140"/>
      <c r="F23" s="141"/>
      <c r="G23" s="142"/>
      <c r="H23" s="143"/>
      <c r="I23" s="144"/>
      <c r="J23" s="145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30" ht="19.5" customHeight="1" x14ac:dyDescent="0.2">
      <c r="A24" s="62"/>
      <c r="B24" s="62"/>
      <c r="C24" s="138"/>
      <c r="D24" s="139"/>
      <c r="E24" s="140"/>
      <c r="F24" s="141"/>
      <c r="G24" s="142"/>
      <c r="H24" s="143"/>
      <c r="I24" s="144"/>
      <c r="J24" s="145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30" ht="19.5" customHeight="1" x14ac:dyDescent="0.2">
      <c r="A25" s="62"/>
      <c r="B25" s="62"/>
      <c r="C25" s="138"/>
      <c r="D25" s="139"/>
      <c r="E25" s="140"/>
      <c r="F25" s="141"/>
      <c r="G25" s="142"/>
      <c r="H25" s="143"/>
      <c r="I25" s="144"/>
      <c r="J25" s="145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30" ht="19.5" customHeight="1" x14ac:dyDescent="0.2">
      <c r="A26" s="449" t="s">
        <v>244</v>
      </c>
      <c r="B26" s="310"/>
      <c r="C26" s="130" t="s">
        <v>235</v>
      </c>
      <c r="D26" s="131" t="s">
        <v>236</v>
      </c>
      <c r="E26" s="132" t="s">
        <v>237</v>
      </c>
      <c r="F26" s="133" t="s">
        <v>238</v>
      </c>
      <c r="G26" s="134" t="s">
        <v>239</v>
      </c>
      <c r="H26" s="135" t="s">
        <v>240</v>
      </c>
      <c r="I26" s="136" t="s">
        <v>241</v>
      </c>
      <c r="J26" s="137" t="s">
        <v>242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30" ht="19.5" customHeight="1" x14ac:dyDescent="0.2">
      <c r="A27" s="62"/>
      <c r="B27" s="62"/>
      <c r="C27" s="138"/>
      <c r="D27" s="139"/>
      <c r="E27" s="140"/>
      <c r="F27" s="141"/>
      <c r="G27" s="142"/>
      <c r="H27" s="143"/>
      <c r="I27" s="144"/>
      <c r="J27" s="145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30" ht="19.5" customHeight="1" x14ac:dyDescent="0.2">
      <c r="A28" s="62"/>
      <c r="B28" s="62"/>
      <c r="C28" s="138"/>
      <c r="D28" s="139"/>
      <c r="E28" s="140"/>
      <c r="F28" s="141"/>
      <c r="G28" s="142"/>
      <c r="H28" s="143"/>
      <c r="I28" s="144"/>
      <c r="J28" s="145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30" ht="19.5" customHeight="1" x14ac:dyDescent="0.2">
      <c r="A29" s="62"/>
      <c r="B29" s="62"/>
      <c r="C29" s="138"/>
      <c r="D29" s="139"/>
      <c r="E29" s="140"/>
      <c r="F29" s="141"/>
      <c r="G29" s="142"/>
      <c r="H29" s="143"/>
      <c r="I29" s="144"/>
      <c r="J29" s="145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30" ht="19.5" customHeight="1" x14ac:dyDescent="0.2">
      <c r="A30" s="62"/>
      <c r="B30" s="62"/>
      <c r="C30" s="138"/>
      <c r="D30" s="139"/>
      <c r="E30" s="140"/>
      <c r="F30" s="141"/>
      <c r="G30" s="142"/>
      <c r="H30" s="143"/>
      <c r="I30" s="144"/>
      <c r="J30" s="145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13"/>
      <c r="AB30" s="13"/>
      <c r="AC30" s="13"/>
      <c r="AD30" s="13"/>
    </row>
    <row r="31" spans="1:30" ht="19.5" customHeight="1" x14ac:dyDescent="0.2">
      <c r="A31" s="62"/>
      <c r="B31" s="62"/>
      <c r="C31" s="138"/>
      <c r="D31" s="139"/>
      <c r="E31" s="140"/>
      <c r="F31" s="141"/>
      <c r="G31" s="142"/>
      <c r="H31" s="143"/>
      <c r="I31" s="144"/>
      <c r="J31" s="145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13"/>
      <c r="AB31" s="13"/>
      <c r="AC31" s="13"/>
      <c r="AD31" s="13"/>
    </row>
    <row r="32" spans="1:30" ht="19.5" customHeight="1" x14ac:dyDescent="0.2">
      <c r="A32" s="62"/>
      <c r="B32" s="62"/>
      <c r="C32" s="138"/>
      <c r="D32" s="139"/>
      <c r="E32" s="140"/>
      <c r="F32" s="141"/>
      <c r="G32" s="142"/>
      <c r="H32" s="143"/>
      <c r="I32" s="144"/>
      <c r="J32" s="145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13"/>
      <c r="AB32" s="13"/>
      <c r="AC32" s="13"/>
      <c r="AD32" s="13"/>
    </row>
    <row r="33" spans="1:30" ht="19.5" customHeight="1" x14ac:dyDescent="0.2">
      <c r="A33" s="62"/>
      <c r="B33" s="62"/>
      <c r="C33" s="138"/>
      <c r="D33" s="139"/>
      <c r="E33" s="140"/>
      <c r="F33" s="141"/>
      <c r="G33" s="142"/>
      <c r="H33" s="143"/>
      <c r="I33" s="144"/>
      <c r="J33" s="145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30" ht="19.5" customHeight="1" x14ac:dyDescent="0.2">
      <c r="A34" s="62"/>
      <c r="B34" s="62"/>
      <c r="C34" s="138"/>
      <c r="D34" s="139"/>
      <c r="E34" s="140"/>
      <c r="F34" s="141"/>
      <c r="G34" s="142"/>
      <c r="H34" s="143"/>
      <c r="I34" s="144"/>
      <c r="J34" s="145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30" ht="19.5" customHeight="1" x14ac:dyDescent="0.2">
      <c r="A35" s="62"/>
      <c r="B35" s="62"/>
      <c r="C35" s="138"/>
      <c r="D35" s="139"/>
      <c r="E35" s="140"/>
      <c r="F35" s="141"/>
      <c r="G35" s="142"/>
      <c r="H35" s="143"/>
      <c r="I35" s="144"/>
      <c r="J35" s="145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30" ht="19.5" customHeight="1" x14ac:dyDescent="0.2">
      <c r="A36" s="62"/>
      <c r="B36" s="62"/>
      <c r="C36" s="138"/>
      <c r="D36" s="139"/>
      <c r="E36" s="140"/>
      <c r="F36" s="141"/>
      <c r="G36" s="142"/>
      <c r="H36" s="143"/>
      <c r="I36" s="144"/>
      <c r="J36" s="145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30" ht="19.5" customHeight="1" x14ac:dyDescent="0.2">
      <c r="A37" s="449" t="s">
        <v>245</v>
      </c>
      <c r="B37" s="310"/>
      <c r="C37" s="130" t="s">
        <v>235</v>
      </c>
      <c r="D37" s="131" t="s">
        <v>236</v>
      </c>
      <c r="E37" s="132" t="s">
        <v>237</v>
      </c>
      <c r="F37" s="133" t="s">
        <v>238</v>
      </c>
      <c r="G37" s="134" t="s">
        <v>239</v>
      </c>
      <c r="H37" s="135" t="s">
        <v>240</v>
      </c>
      <c r="I37" s="136" t="s">
        <v>241</v>
      </c>
      <c r="J37" s="137" t="s">
        <v>242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30" ht="19.5" customHeight="1" x14ac:dyDescent="0.2">
      <c r="A38" s="62"/>
      <c r="B38" s="62"/>
      <c r="C38" s="138"/>
      <c r="D38" s="139"/>
      <c r="E38" s="140"/>
      <c r="F38" s="141"/>
      <c r="G38" s="142"/>
      <c r="H38" s="143"/>
      <c r="I38" s="144"/>
      <c r="J38" s="145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30" ht="19.5" customHeight="1" x14ac:dyDescent="0.2">
      <c r="A39" s="62"/>
      <c r="B39" s="62"/>
      <c r="C39" s="138"/>
      <c r="D39" s="139"/>
      <c r="E39" s="140"/>
      <c r="F39" s="141"/>
      <c r="G39" s="142"/>
      <c r="H39" s="143"/>
      <c r="I39" s="144"/>
      <c r="J39" s="145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13"/>
      <c r="AB39" s="13"/>
      <c r="AC39" s="13"/>
      <c r="AD39" s="13"/>
    </row>
    <row r="40" spans="1:30" ht="19.5" customHeight="1" x14ac:dyDescent="0.2">
      <c r="A40" s="62"/>
      <c r="B40" s="62"/>
      <c r="C40" s="138"/>
      <c r="D40" s="139"/>
      <c r="E40" s="140"/>
      <c r="F40" s="141"/>
      <c r="G40" s="142"/>
      <c r="H40" s="143"/>
      <c r="I40" s="144"/>
      <c r="J40" s="145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13"/>
      <c r="AB40" s="13"/>
      <c r="AC40" s="13"/>
      <c r="AD40" s="13"/>
    </row>
    <row r="41" spans="1:30" ht="19.5" customHeight="1" x14ac:dyDescent="0.2">
      <c r="A41" s="62"/>
      <c r="B41" s="62"/>
      <c r="C41" s="138"/>
      <c r="D41" s="139"/>
      <c r="E41" s="140"/>
      <c r="F41" s="141"/>
      <c r="G41" s="142"/>
      <c r="H41" s="143"/>
      <c r="I41" s="144"/>
      <c r="J41" s="145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13"/>
      <c r="AB41" s="13"/>
      <c r="AC41" s="13"/>
      <c r="AD41" s="13"/>
    </row>
    <row r="42" spans="1:30" ht="19.5" customHeight="1" x14ac:dyDescent="0.2">
      <c r="A42" s="62"/>
      <c r="B42" s="62"/>
      <c r="C42" s="138"/>
      <c r="D42" s="139"/>
      <c r="E42" s="140"/>
      <c r="F42" s="141"/>
      <c r="G42" s="142"/>
      <c r="H42" s="143"/>
      <c r="I42" s="144"/>
      <c r="J42" s="145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30" ht="19.5" customHeight="1" x14ac:dyDescent="0.2">
      <c r="A43" s="62"/>
      <c r="B43" s="62"/>
      <c r="C43" s="138"/>
      <c r="D43" s="139"/>
      <c r="E43" s="140"/>
      <c r="F43" s="141"/>
      <c r="G43" s="142"/>
      <c r="H43" s="143"/>
      <c r="I43" s="144"/>
      <c r="J43" s="145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30" ht="19.5" customHeight="1" x14ac:dyDescent="0.2">
      <c r="A44" s="62"/>
      <c r="B44" s="62"/>
      <c r="C44" s="138"/>
      <c r="D44" s="139"/>
      <c r="E44" s="140"/>
      <c r="F44" s="141"/>
      <c r="G44" s="142"/>
      <c r="H44" s="143"/>
      <c r="I44" s="144"/>
      <c r="J44" s="145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30" ht="19.5" customHeight="1" x14ac:dyDescent="0.2">
      <c r="A45" s="62"/>
      <c r="B45" s="62"/>
      <c r="C45" s="138"/>
      <c r="D45" s="139"/>
      <c r="E45" s="140"/>
      <c r="F45" s="141"/>
      <c r="G45" s="142"/>
      <c r="H45" s="143"/>
      <c r="I45" s="144"/>
      <c r="J45" s="145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30" ht="19.5" customHeight="1" x14ac:dyDescent="0.2">
      <c r="A46" s="62"/>
      <c r="B46" s="62"/>
      <c r="C46" s="138"/>
      <c r="D46" s="139"/>
      <c r="E46" s="140"/>
      <c r="F46" s="141"/>
      <c r="G46" s="142"/>
      <c r="H46" s="143"/>
      <c r="I46" s="144"/>
      <c r="J46" s="145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30" ht="19.5" customHeight="1" x14ac:dyDescent="0.2">
      <c r="A47" s="62"/>
      <c r="B47" s="62"/>
      <c r="C47" s="138"/>
      <c r="D47" s="139"/>
      <c r="E47" s="140"/>
      <c r="F47" s="141"/>
      <c r="G47" s="142"/>
      <c r="H47" s="143"/>
      <c r="I47" s="144"/>
      <c r="J47" s="145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30" ht="19.5" customHeight="1" x14ac:dyDescent="0.2">
      <c r="A48" s="449" t="s">
        <v>246</v>
      </c>
      <c r="B48" s="310"/>
      <c r="C48" s="130" t="s">
        <v>235</v>
      </c>
      <c r="D48" s="131" t="s">
        <v>236</v>
      </c>
      <c r="E48" s="132" t="s">
        <v>237</v>
      </c>
      <c r="F48" s="133" t="s">
        <v>238</v>
      </c>
      <c r="G48" s="134" t="s">
        <v>239</v>
      </c>
      <c r="H48" s="135" t="s">
        <v>240</v>
      </c>
      <c r="I48" s="136" t="s">
        <v>241</v>
      </c>
      <c r="J48" s="137" t="s">
        <v>242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30" ht="19.5" customHeight="1" x14ac:dyDescent="0.2">
      <c r="A49" s="62"/>
      <c r="B49" s="62"/>
      <c r="C49" s="138"/>
      <c r="D49" s="139"/>
      <c r="E49" s="140"/>
      <c r="F49" s="141"/>
      <c r="G49" s="142"/>
      <c r="H49" s="143"/>
      <c r="I49" s="144"/>
      <c r="J49" s="145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30" ht="19.5" customHeight="1" x14ac:dyDescent="0.2">
      <c r="A50" s="62"/>
      <c r="B50" s="62"/>
      <c r="C50" s="138"/>
      <c r="D50" s="139"/>
      <c r="E50" s="140"/>
      <c r="F50" s="141"/>
      <c r="G50" s="142"/>
      <c r="H50" s="143"/>
      <c r="I50" s="144"/>
      <c r="J50" s="145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30" ht="19.5" customHeight="1" x14ac:dyDescent="0.2">
      <c r="A51" s="62"/>
      <c r="B51" s="62"/>
      <c r="C51" s="138"/>
      <c r="D51" s="139"/>
      <c r="E51" s="140"/>
      <c r="F51" s="141"/>
      <c r="G51" s="142"/>
      <c r="H51" s="143"/>
      <c r="I51" s="144"/>
      <c r="J51" s="145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13"/>
      <c r="AB51" s="13"/>
      <c r="AC51" s="13"/>
      <c r="AD51" s="13"/>
    </row>
    <row r="52" spans="1:30" ht="19.5" customHeight="1" x14ac:dyDescent="0.2">
      <c r="A52" s="62"/>
      <c r="B52" s="62"/>
      <c r="C52" s="138"/>
      <c r="D52" s="139"/>
      <c r="E52" s="140"/>
      <c r="F52" s="141"/>
      <c r="G52" s="142"/>
      <c r="H52" s="143"/>
      <c r="I52" s="144"/>
      <c r="J52" s="145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13"/>
      <c r="AB52" s="13"/>
      <c r="AC52" s="13"/>
      <c r="AD52" s="13"/>
    </row>
    <row r="53" spans="1:30" ht="19.5" customHeight="1" x14ac:dyDescent="0.2">
      <c r="A53" s="62"/>
      <c r="B53" s="62"/>
      <c r="C53" s="138"/>
      <c r="D53" s="139"/>
      <c r="E53" s="140"/>
      <c r="F53" s="141"/>
      <c r="G53" s="142"/>
      <c r="H53" s="143"/>
      <c r="I53" s="144"/>
      <c r="J53" s="145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13"/>
      <c r="AB53" s="13"/>
      <c r="AC53" s="13"/>
      <c r="AD53" s="13"/>
    </row>
    <row r="54" spans="1:30" ht="19.5" customHeight="1" x14ac:dyDescent="0.2">
      <c r="A54" s="62"/>
      <c r="B54" s="62"/>
      <c r="C54" s="138"/>
      <c r="D54" s="139"/>
      <c r="E54" s="140"/>
      <c r="F54" s="141"/>
      <c r="G54" s="142"/>
      <c r="H54" s="143"/>
      <c r="I54" s="144"/>
      <c r="J54" s="145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30" ht="19.5" customHeight="1" x14ac:dyDescent="0.2">
      <c r="A55" s="62"/>
      <c r="B55" s="62"/>
      <c r="C55" s="138"/>
      <c r="D55" s="139"/>
      <c r="E55" s="140"/>
      <c r="F55" s="141"/>
      <c r="G55" s="142"/>
      <c r="H55" s="143"/>
      <c r="I55" s="144"/>
      <c r="J55" s="145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30" ht="19.5" customHeight="1" x14ac:dyDescent="0.2">
      <c r="A56" s="62"/>
      <c r="B56" s="62"/>
      <c r="C56" s="138"/>
      <c r="D56" s="139"/>
      <c r="E56" s="140"/>
      <c r="F56" s="141"/>
      <c r="G56" s="142"/>
      <c r="H56" s="143"/>
      <c r="I56" s="144"/>
      <c r="J56" s="145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30" ht="19.5" customHeight="1" x14ac:dyDescent="0.2">
      <c r="A57" s="62"/>
      <c r="B57" s="62"/>
      <c r="C57" s="138"/>
      <c r="D57" s="139"/>
      <c r="E57" s="140"/>
      <c r="F57" s="141"/>
      <c r="G57" s="142"/>
      <c r="H57" s="143"/>
      <c r="I57" s="144"/>
      <c r="J57" s="145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30" ht="19.5" customHeight="1" x14ac:dyDescent="0.2">
      <c r="A58" s="62"/>
      <c r="B58" s="62"/>
      <c r="C58" s="138"/>
      <c r="D58" s="139"/>
      <c r="E58" s="140"/>
      <c r="F58" s="141"/>
      <c r="G58" s="142"/>
      <c r="H58" s="143"/>
      <c r="I58" s="144"/>
      <c r="J58" s="145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30" ht="19.5" customHeight="1" x14ac:dyDescent="0.2">
      <c r="A59" s="449" t="s">
        <v>247</v>
      </c>
      <c r="B59" s="310"/>
      <c r="C59" s="130" t="s">
        <v>235</v>
      </c>
      <c r="D59" s="131" t="s">
        <v>236</v>
      </c>
      <c r="E59" s="132" t="s">
        <v>237</v>
      </c>
      <c r="F59" s="133" t="s">
        <v>238</v>
      </c>
      <c r="G59" s="134" t="s">
        <v>239</v>
      </c>
      <c r="H59" s="135" t="s">
        <v>240</v>
      </c>
      <c r="I59" s="136" t="s">
        <v>241</v>
      </c>
      <c r="J59" s="137" t="s">
        <v>242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30" ht="19.5" customHeight="1" x14ac:dyDescent="0.2">
      <c r="A60" s="62"/>
      <c r="B60" s="62"/>
      <c r="C60" s="138"/>
      <c r="D60" s="139"/>
      <c r="E60" s="140"/>
      <c r="F60" s="141"/>
      <c r="G60" s="142"/>
      <c r="H60" s="143"/>
      <c r="I60" s="144"/>
      <c r="J60" s="145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30" ht="19.5" customHeight="1" x14ac:dyDescent="0.2">
      <c r="A61" s="62"/>
      <c r="B61" s="62"/>
      <c r="C61" s="138"/>
      <c r="D61" s="139"/>
      <c r="E61" s="140"/>
      <c r="F61" s="141"/>
      <c r="G61" s="142"/>
      <c r="H61" s="143"/>
      <c r="I61" s="144"/>
      <c r="J61" s="145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30" ht="19.5" customHeight="1" x14ac:dyDescent="0.2">
      <c r="A62" s="62"/>
      <c r="B62" s="62"/>
      <c r="C62" s="138"/>
      <c r="D62" s="139"/>
      <c r="E62" s="140"/>
      <c r="F62" s="141"/>
      <c r="G62" s="142"/>
      <c r="H62" s="143"/>
      <c r="I62" s="144"/>
      <c r="J62" s="145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13"/>
      <c r="AB62" s="13"/>
      <c r="AC62" s="13"/>
      <c r="AD62" s="13"/>
    </row>
    <row r="63" spans="1:30" ht="19.5" customHeight="1" x14ac:dyDescent="0.2">
      <c r="A63" s="62"/>
      <c r="B63" s="62"/>
      <c r="C63" s="138"/>
      <c r="D63" s="139"/>
      <c r="E63" s="140"/>
      <c r="F63" s="141"/>
      <c r="G63" s="142"/>
      <c r="H63" s="143"/>
      <c r="I63" s="144"/>
      <c r="J63" s="145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13"/>
      <c r="AB63" s="13"/>
      <c r="AC63" s="13"/>
      <c r="AD63" s="13"/>
    </row>
    <row r="64" spans="1:30" ht="19.5" customHeight="1" x14ac:dyDescent="0.2">
      <c r="A64" s="62"/>
      <c r="B64" s="62"/>
      <c r="C64" s="138"/>
      <c r="D64" s="139"/>
      <c r="E64" s="140"/>
      <c r="F64" s="141"/>
      <c r="G64" s="142"/>
      <c r="H64" s="143"/>
      <c r="I64" s="144"/>
      <c r="J64" s="145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13"/>
      <c r="AB64" s="13"/>
      <c r="AC64" s="13"/>
      <c r="AD64" s="13"/>
    </row>
    <row r="65" spans="1:30" ht="19.5" customHeight="1" x14ac:dyDescent="0.2">
      <c r="A65" s="62"/>
      <c r="B65" s="62"/>
      <c r="C65" s="138"/>
      <c r="D65" s="139"/>
      <c r="E65" s="140"/>
      <c r="F65" s="141"/>
      <c r="G65" s="142"/>
      <c r="H65" s="143"/>
      <c r="I65" s="144"/>
      <c r="J65" s="145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30" ht="19.5" customHeight="1" x14ac:dyDescent="0.2">
      <c r="A66" s="62"/>
      <c r="B66" s="62"/>
      <c r="C66" s="138"/>
      <c r="D66" s="139"/>
      <c r="E66" s="140"/>
      <c r="F66" s="141"/>
      <c r="G66" s="142"/>
      <c r="H66" s="143"/>
      <c r="I66" s="144"/>
      <c r="J66" s="145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30" ht="19.5" customHeight="1" x14ac:dyDescent="0.2">
      <c r="A67" s="62"/>
      <c r="B67" s="62"/>
      <c r="C67" s="138"/>
      <c r="D67" s="139"/>
      <c r="E67" s="140"/>
      <c r="F67" s="141"/>
      <c r="G67" s="142"/>
      <c r="H67" s="143"/>
      <c r="I67" s="144"/>
      <c r="J67" s="145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30" ht="19.5" customHeight="1" x14ac:dyDescent="0.2">
      <c r="A68" s="62"/>
      <c r="B68" s="62"/>
      <c r="C68" s="138"/>
      <c r="D68" s="139"/>
      <c r="E68" s="140"/>
      <c r="F68" s="141"/>
      <c r="G68" s="142"/>
      <c r="H68" s="143"/>
      <c r="I68" s="144"/>
      <c r="J68" s="145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30" ht="19.5" customHeight="1" x14ac:dyDescent="0.2">
      <c r="A69" s="62"/>
      <c r="B69" s="62"/>
      <c r="C69" s="138"/>
      <c r="D69" s="139"/>
      <c r="E69" s="140"/>
      <c r="F69" s="141"/>
      <c r="G69" s="142"/>
      <c r="H69" s="143"/>
      <c r="I69" s="144"/>
      <c r="J69" s="145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30" ht="19.5" customHeight="1" x14ac:dyDescent="0.2">
      <c r="A70" s="449" t="s">
        <v>248</v>
      </c>
      <c r="B70" s="310"/>
      <c r="C70" s="130" t="s">
        <v>235</v>
      </c>
      <c r="D70" s="131" t="s">
        <v>236</v>
      </c>
      <c r="E70" s="132" t="s">
        <v>237</v>
      </c>
      <c r="F70" s="133" t="s">
        <v>238</v>
      </c>
      <c r="G70" s="134" t="s">
        <v>239</v>
      </c>
      <c r="H70" s="135" t="s">
        <v>240</v>
      </c>
      <c r="I70" s="136" t="s">
        <v>241</v>
      </c>
      <c r="J70" s="137" t="s">
        <v>242</v>
      </c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30" ht="19.5" customHeight="1" x14ac:dyDescent="0.2">
      <c r="A71" s="62"/>
      <c r="B71" s="62"/>
      <c r="C71" s="138"/>
      <c r="D71" s="139"/>
      <c r="E71" s="140"/>
      <c r="F71" s="141"/>
      <c r="G71" s="142"/>
      <c r="H71" s="143"/>
      <c r="I71" s="144"/>
      <c r="J71" s="145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30" ht="19.5" customHeight="1" x14ac:dyDescent="0.2">
      <c r="A72" s="62"/>
      <c r="B72" s="62"/>
      <c r="C72" s="138"/>
      <c r="D72" s="139"/>
      <c r="E72" s="140"/>
      <c r="F72" s="141"/>
      <c r="G72" s="142"/>
      <c r="H72" s="143"/>
      <c r="I72" s="144"/>
      <c r="J72" s="145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30" ht="19.5" customHeight="1" x14ac:dyDescent="0.2">
      <c r="A73" s="62"/>
      <c r="B73" s="62"/>
      <c r="C73" s="138"/>
      <c r="D73" s="139"/>
      <c r="E73" s="140"/>
      <c r="F73" s="141"/>
      <c r="G73" s="142"/>
      <c r="H73" s="143"/>
      <c r="I73" s="144"/>
      <c r="J73" s="145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13"/>
      <c r="AB73" s="13"/>
      <c r="AC73" s="13"/>
      <c r="AD73" s="13"/>
    </row>
    <row r="74" spans="1:30" ht="19.5" customHeight="1" x14ac:dyDescent="0.2">
      <c r="A74" s="62"/>
      <c r="B74" s="62"/>
      <c r="C74" s="138"/>
      <c r="D74" s="139"/>
      <c r="E74" s="140"/>
      <c r="F74" s="141"/>
      <c r="G74" s="142"/>
      <c r="H74" s="143"/>
      <c r="I74" s="144"/>
      <c r="J74" s="145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13"/>
      <c r="AB74" s="13"/>
      <c r="AC74" s="13"/>
      <c r="AD74" s="13"/>
    </row>
    <row r="75" spans="1:30" ht="19.5" customHeight="1" x14ac:dyDescent="0.2">
      <c r="A75" s="62"/>
      <c r="B75" s="62"/>
      <c r="C75" s="138"/>
      <c r="D75" s="139"/>
      <c r="E75" s="140"/>
      <c r="F75" s="141"/>
      <c r="G75" s="142"/>
      <c r="H75" s="143"/>
      <c r="I75" s="144"/>
      <c r="J75" s="145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13"/>
      <c r="AB75" s="13"/>
      <c r="AC75" s="13"/>
      <c r="AD75" s="13"/>
    </row>
    <row r="76" spans="1:30" ht="19.5" customHeight="1" x14ac:dyDescent="0.2">
      <c r="A76" s="62"/>
      <c r="B76" s="62"/>
      <c r="C76" s="138"/>
      <c r="D76" s="139"/>
      <c r="E76" s="140"/>
      <c r="F76" s="141"/>
      <c r="G76" s="142"/>
      <c r="H76" s="143"/>
      <c r="I76" s="144"/>
      <c r="J76" s="145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30" ht="19.5" customHeight="1" x14ac:dyDescent="0.2">
      <c r="A77" s="62"/>
      <c r="B77" s="62"/>
      <c r="C77" s="138"/>
      <c r="D77" s="139"/>
      <c r="E77" s="140"/>
      <c r="F77" s="141"/>
      <c r="G77" s="142"/>
      <c r="H77" s="143"/>
      <c r="I77" s="144"/>
      <c r="J77" s="145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30" ht="19.5" customHeight="1" x14ac:dyDescent="0.2">
      <c r="A78" s="62"/>
      <c r="B78" s="62"/>
      <c r="C78" s="138"/>
      <c r="D78" s="139"/>
      <c r="E78" s="140"/>
      <c r="F78" s="141"/>
      <c r="G78" s="142"/>
      <c r="H78" s="143"/>
      <c r="I78" s="144"/>
      <c r="J78" s="145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30" ht="19.5" customHeight="1" x14ac:dyDescent="0.2">
      <c r="A79" s="62"/>
      <c r="B79" s="62"/>
      <c r="C79" s="138"/>
      <c r="D79" s="139"/>
      <c r="E79" s="140"/>
      <c r="F79" s="141"/>
      <c r="G79" s="142"/>
      <c r="H79" s="143"/>
      <c r="I79" s="144"/>
      <c r="J79" s="145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30" ht="19.5" customHeight="1" x14ac:dyDescent="0.2">
      <c r="A80" s="62"/>
      <c r="B80" s="62"/>
      <c r="C80" s="138"/>
      <c r="D80" s="139"/>
      <c r="E80" s="140"/>
      <c r="F80" s="141"/>
      <c r="G80" s="142"/>
      <c r="H80" s="143"/>
      <c r="I80" s="144"/>
      <c r="J80" s="145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30" ht="19.5" customHeight="1" x14ac:dyDescent="0.2">
      <c r="A81" s="449" t="s">
        <v>249</v>
      </c>
      <c r="B81" s="310"/>
      <c r="C81" s="130" t="s">
        <v>235</v>
      </c>
      <c r="D81" s="131" t="s">
        <v>236</v>
      </c>
      <c r="E81" s="132" t="s">
        <v>237</v>
      </c>
      <c r="F81" s="133" t="s">
        <v>238</v>
      </c>
      <c r="G81" s="134" t="s">
        <v>239</v>
      </c>
      <c r="H81" s="135" t="s">
        <v>240</v>
      </c>
      <c r="I81" s="136" t="s">
        <v>241</v>
      </c>
      <c r="J81" s="137" t="s">
        <v>242</v>
      </c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30" ht="19.5" customHeight="1" x14ac:dyDescent="0.2">
      <c r="A82" s="62"/>
      <c r="B82" s="62"/>
      <c r="C82" s="138"/>
      <c r="D82" s="139"/>
      <c r="E82" s="140"/>
      <c r="F82" s="141"/>
      <c r="G82" s="142"/>
      <c r="H82" s="143"/>
      <c r="I82" s="144"/>
      <c r="J82" s="145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30" ht="19.5" customHeight="1" x14ac:dyDescent="0.2">
      <c r="A83" s="62"/>
      <c r="B83" s="62"/>
      <c r="C83" s="138"/>
      <c r="D83" s="139"/>
      <c r="E83" s="140"/>
      <c r="F83" s="141"/>
      <c r="G83" s="142"/>
      <c r="H83" s="143"/>
      <c r="I83" s="144"/>
      <c r="J83" s="145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13"/>
      <c r="AB83" s="13"/>
      <c r="AC83" s="13"/>
      <c r="AD83" s="13"/>
    </row>
    <row r="84" spans="1:30" ht="19.5" customHeight="1" x14ac:dyDescent="0.2">
      <c r="A84" s="62"/>
      <c r="B84" s="62"/>
      <c r="C84" s="138"/>
      <c r="D84" s="139"/>
      <c r="E84" s="140"/>
      <c r="F84" s="141"/>
      <c r="G84" s="142"/>
      <c r="H84" s="143"/>
      <c r="I84" s="144"/>
      <c r="J84" s="145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13"/>
      <c r="AB84" s="13"/>
      <c r="AC84" s="13"/>
      <c r="AD84" s="13"/>
    </row>
    <row r="85" spans="1:30" ht="19.5" customHeight="1" x14ac:dyDescent="0.2">
      <c r="A85" s="62"/>
      <c r="B85" s="62"/>
      <c r="C85" s="138"/>
      <c r="D85" s="139"/>
      <c r="E85" s="140"/>
      <c r="F85" s="141"/>
      <c r="G85" s="142"/>
      <c r="H85" s="143"/>
      <c r="I85" s="144"/>
      <c r="J85" s="145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13"/>
      <c r="AB85" s="13"/>
      <c r="AC85" s="13"/>
      <c r="AD85" s="13"/>
    </row>
    <row r="86" spans="1:30" ht="19.5" customHeight="1" x14ac:dyDescent="0.2">
      <c r="A86" s="62"/>
      <c r="B86" s="62"/>
      <c r="C86" s="138"/>
      <c r="D86" s="139"/>
      <c r="E86" s="140"/>
      <c r="F86" s="141"/>
      <c r="G86" s="142"/>
      <c r="H86" s="143"/>
      <c r="I86" s="144"/>
      <c r="J86" s="145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30" ht="19.5" customHeight="1" x14ac:dyDescent="0.2">
      <c r="A87" s="62"/>
      <c r="B87" s="62"/>
      <c r="C87" s="138"/>
      <c r="D87" s="139"/>
      <c r="E87" s="140"/>
      <c r="F87" s="141"/>
      <c r="G87" s="142"/>
      <c r="H87" s="143"/>
      <c r="I87" s="144"/>
      <c r="J87" s="145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30" ht="19.5" customHeight="1" x14ac:dyDescent="0.2">
      <c r="A88" s="62"/>
      <c r="B88" s="62"/>
      <c r="C88" s="138"/>
      <c r="D88" s="139"/>
      <c r="E88" s="140"/>
      <c r="F88" s="141"/>
      <c r="G88" s="142"/>
      <c r="H88" s="143"/>
      <c r="I88" s="144"/>
      <c r="J88" s="145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30" ht="19.5" customHeight="1" x14ac:dyDescent="0.2">
      <c r="A89" s="62"/>
      <c r="B89" s="62"/>
      <c r="C89" s="138"/>
      <c r="D89" s="139"/>
      <c r="E89" s="140"/>
      <c r="F89" s="141"/>
      <c r="G89" s="142"/>
      <c r="H89" s="143"/>
      <c r="I89" s="144"/>
      <c r="J89" s="145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30" ht="19.5" customHeight="1" x14ac:dyDescent="0.2">
      <c r="A90" s="62"/>
      <c r="B90" s="62"/>
      <c r="C90" s="138"/>
      <c r="D90" s="139"/>
      <c r="E90" s="140"/>
      <c r="F90" s="141"/>
      <c r="G90" s="142"/>
      <c r="H90" s="143"/>
      <c r="I90" s="144"/>
      <c r="J90" s="145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30" ht="19.5" customHeight="1" x14ac:dyDescent="0.2">
      <c r="A91" s="62"/>
      <c r="B91" s="62"/>
      <c r="C91" s="138"/>
      <c r="D91" s="139"/>
      <c r="E91" s="140"/>
      <c r="F91" s="141"/>
      <c r="G91" s="142"/>
      <c r="H91" s="143"/>
      <c r="I91" s="144"/>
      <c r="J91" s="145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30" ht="19.5" customHeight="1" x14ac:dyDescent="0.2">
      <c r="A92" s="449" t="s">
        <v>250</v>
      </c>
      <c r="B92" s="310"/>
      <c r="C92" s="130" t="s">
        <v>235</v>
      </c>
      <c r="D92" s="131" t="s">
        <v>236</v>
      </c>
      <c r="E92" s="132" t="s">
        <v>237</v>
      </c>
      <c r="F92" s="133" t="s">
        <v>238</v>
      </c>
      <c r="G92" s="134" t="s">
        <v>239</v>
      </c>
      <c r="H92" s="135" t="s">
        <v>240</v>
      </c>
      <c r="I92" s="136" t="s">
        <v>241</v>
      </c>
      <c r="J92" s="137" t="s">
        <v>242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30" ht="19.5" customHeight="1" x14ac:dyDescent="0.2">
      <c r="A93" s="62"/>
      <c r="B93" s="62"/>
      <c r="C93" s="138"/>
      <c r="D93" s="139"/>
      <c r="E93" s="140"/>
      <c r="F93" s="141"/>
      <c r="G93" s="142"/>
      <c r="H93" s="143"/>
      <c r="I93" s="144"/>
      <c r="J93" s="145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0" ht="19.5" customHeight="1" x14ac:dyDescent="0.2">
      <c r="A94" s="62"/>
      <c r="B94" s="62"/>
      <c r="C94" s="138"/>
      <c r="D94" s="139"/>
      <c r="E94" s="140"/>
      <c r="F94" s="141"/>
      <c r="G94" s="142"/>
      <c r="H94" s="143"/>
      <c r="I94" s="144"/>
      <c r="J94" s="145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13"/>
      <c r="AB94" s="13"/>
      <c r="AC94" s="13"/>
      <c r="AD94" s="13"/>
    </row>
    <row r="95" spans="1:30" ht="19.5" customHeight="1" x14ac:dyDescent="0.2">
      <c r="A95" s="62"/>
      <c r="B95" s="62"/>
      <c r="C95" s="138"/>
      <c r="D95" s="139"/>
      <c r="E95" s="140"/>
      <c r="F95" s="141"/>
      <c r="G95" s="142"/>
      <c r="H95" s="143"/>
      <c r="I95" s="144"/>
      <c r="J95" s="145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13"/>
      <c r="AB95" s="13"/>
      <c r="AC95" s="13"/>
      <c r="AD95" s="13"/>
    </row>
    <row r="96" spans="1:30" ht="19.5" customHeight="1" x14ac:dyDescent="0.2">
      <c r="A96" s="62"/>
      <c r="B96" s="62"/>
      <c r="C96" s="138"/>
      <c r="D96" s="139"/>
      <c r="E96" s="140"/>
      <c r="F96" s="141"/>
      <c r="G96" s="142"/>
      <c r="H96" s="143"/>
      <c r="I96" s="144"/>
      <c r="J96" s="145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13"/>
      <c r="AB96" s="13"/>
      <c r="AC96" s="13"/>
      <c r="AD96" s="13"/>
    </row>
    <row r="97" spans="1:30" ht="19.5" customHeight="1" x14ac:dyDescent="0.2">
      <c r="A97" s="62"/>
      <c r="B97" s="62"/>
      <c r="C97" s="138"/>
      <c r="D97" s="139"/>
      <c r="E97" s="140"/>
      <c r="F97" s="141"/>
      <c r="G97" s="142"/>
      <c r="H97" s="143"/>
      <c r="I97" s="144"/>
      <c r="J97" s="145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30" ht="19.5" customHeight="1" x14ac:dyDescent="0.2">
      <c r="A98" s="62"/>
      <c r="B98" s="62"/>
      <c r="C98" s="138"/>
      <c r="D98" s="139"/>
      <c r="E98" s="140"/>
      <c r="F98" s="141"/>
      <c r="G98" s="142"/>
      <c r="H98" s="143"/>
      <c r="I98" s="144"/>
      <c r="J98" s="145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30" ht="19.5" customHeight="1" x14ac:dyDescent="0.2">
      <c r="A99" s="62"/>
      <c r="B99" s="62"/>
      <c r="C99" s="138"/>
      <c r="D99" s="139"/>
      <c r="E99" s="140"/>
      <c r="F99" s="141"/>
      <c r="G99" s="142"/>
      <c r="H99" s="143"/>
      <c r="I99" s="144"/>
      <c r="J99" s="145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30" ht="19.5" customHeight="1" x14ac:dyDescent="0.2">
      <c r="A100" s="62"/>
      <c r="B100" s="62"/>
      <c r="C100" s="138"/>
      <c r="D100" s="139"/>
      <c r="E100" s="140"/>
      <c r="F100" s="141"/>
      <c r="G100" s="142"/>
      <c r="H100" s="143"/>
      <c r="I100" s="144"/>
      <c r="J100" s="145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30" ht="19.5" customHeight="1" x14ac:dyDescent="0.2">
      <c r="A101" s="62"/>
      <c r="B101" s="62"/>
      <c r="C101" s="138"/>
      <c r="D101" s="139"/>
      <c r="E101" s="140"/>
      <c r="F101" s="141"/>
      <c r="G101" s="142"/>
      <c r="H101" s="143"/>
      <c r="I101" s="144"/>
      <c r="J101" s="145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30" ht="19.5" customHeight="1" x14ac:dyDescent="0.2">
      <c r="A102" s="62"/>
      <c r="B102" s="62"/>
      <c r="C102" s="138"/>
      <c r="D102" s="139"/>
      <c r="E102" s="140"/>
      <c r="F102" s="141"/>
      <c r="G102" s="142"/>
      <c r="H102" s="143"/>
      <c r="I102" s="144"/>
      <c r="J102" s="145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30" ht="19.5" customHeight="1" x14ac:dyDescent="0.2">
      <c r="A103" s="449" t="s">
        <v>251</v>
      </c>
      <c r="B103" s="310"/>
      <c r="C103" s="130" t="s">
        <v>235</v>
      </c>
      <c r="D103" s="131" t="s">
        <v>236</v>
      </c>
      <c r="E103" s="132" t="s">
        <v>237</v>
      </c>
      <c r="F103" s="133" t="s">
        <v>238</v>
      </c>
      <c r="G103" s="134" t="s">
        <v>239</v>
      </c>
      <c r="H103" s="135" t="s">
        <v>240</v>
      </c>
      <c r="I103" s="136" t="s">
        <v>241</v>
      </c>
      <c r="J103" s="137" t="s">
        <v>242</v>
      </c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30" ht="19.5" customHeight="1" x14ac:dyDescent="0.2">
      <c r="A104" s="62"/>
      <c r="B104" s="62"/>
      <c r="C104" s="138"/>
      <c r="D104" s="139"/>
      <c r="E104" s="140"/>
      <c r="F104" s="141"/>
      <c r="G104" s="142"/>
      <c r="H104" s="143"/>
      <c r="I104" s="144"/>
      <c r="J104" s="145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30" ht="19.5" customHeight="1" x14ac:dyDescent="0.2">
      <c r="A105" s="62"/>
      <c r="B105" s="62"/>
      <c r="C105" s="138"/>
      <c r="D105" s="139"/>
      <c r="E105" s="140"/>
      <c r="F105" s="141"/>
      <c r="G105" s="142"/>
      <c r="H105" s="143"/>
      <c r="I105" s="144"/>
      <c r="J105" s="145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13"/>
      <c r="AB105" s="13"/>
      <c r="AC105" s="13"/>
      <c r="AD105" s="13"/>
    </row>
    <row r="106" spans="1:30" ht="19.5" customHeight="1" x14ac:dyDescent="0.2">
      <c r="A106" s="62"/>
      <c r="B106" s="62"/>
      <c r="C106" s="138"/>
      <c r="D106" s="139"/>
      <c r="E106" s="140"/>
      <c r="F106" s="141"/>
      <c r="G106" s="142"/>
      <c r="H106" s="143"/>
      <c r="I106" s="144"/>
      <c r="J106" s="145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13"/>
      <c r="AB106" s="13"/>
      <c r="AC106" s="13"/>
      <c r="AD106" s="13"/>
    </row>
    <row r="107" spans="1:30" ht="19.5" customHeight="1" x14ac:dyDescent="0.2">
      <c r="A107" s="62"/>
      <c r="B107" s="62"/>
      <c r="C107" s="138"/>
      <c r="D107" s="139"/>
      <c r="E107" s="140"/>
      <c r="F107" s="141"/>
      <c r="G107" s="142"/>
      <c r="H107" s="143"/>
      <c r="I107" s="144"/>
      <c r="J107" s="145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13"/>
      <c r="AB107" s="13"/>
      <c r="AC107" s="13"/>
      <c r="AD107" s="13"/>
    </row>
    <row r="108" spans="1:30" ht="19.5" customHeight="1" x14ac:dyDescent="0.2">
      <c r="A108" s="62"/>
      <c r="B108" s="62"/>
      <c r="C108" s="138"/>
      <c r="D108" s="139"/>
      <c r="E108" s="140"/>
      <c r="F108" s="141"/>
      <c r="G108" s="142"/>
      <c r="H108" s="143"/>
      <c r="I108" s="144"/>
      <c r="J108" s="145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30" ht="19.5" customHeight="1" x14ac:dyDescent="0.2">
      <c r="A109" s="62"/>
      <c r="B109" s="62"/>
      <c r="C109" s="138"/>
      <c r="D109" s="139"/>
      <c r="E109" s="140"/>
      <c r="F109" s="141"/>
      <c r="G109" s="142"/>
      <c r="H109" s="143"/>
      <c r="I109" s="144"/>
      <c r="J109" s="145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30" ht="19.5" customHeight="1" x14ac:dyDescent="0.2">
      <c r="A110" s="62"/>
      <c r="B110" s="62"/>
      <c r="C110" s="138"/>
      <c r="D110" s="139"/>
      <c r="E110" s="140"/>
      <c r="F110" s="141"/>
      <c r="G110" s="142"/>
      <c r="H110" s="143"/>
      <c r="I110" s="144"/>
      <c r="J110" s="145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30" ht="19.5" customHeight="1" x14ac:dyDescent="0.2">
      <c r="A111" s="62"/>
      <c r="B111" s="62"/>
      <c r="C111" s="138"/>
      <c r="D111" s="139"/>
      <c r="E111" s="140"/>
      <c r="F111" s="141"/>
      <c r="G111" s="142"/>
      <c r="H111" s="143"/>
      <c r="I111" s="144"/>
      <c r="J111" s="145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30" ht="19.5" customHeight="1" x14ac:dyDescent="0.2">
      <c r="A112" s="62"/>
      <c r="B112" s="62"/>
      <c r="C112" s="138"/>
      <c r="D112" s="139"/>
      <c r="E112" s="140"/>
      <c r="F112" s="141"/>
      <c r="G112" s="142"/>
      <c r="H112" s="143"/>
      <c r="I112" s="144"/>
      <c r="J112" s="145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30" ht="19.5" customHeight="1" x14ac:dyDescent="0.2">
      <c r="A113" s="62"/>
      <c r="B113" s="62"/>
      <c r="C113" s="138"/>
      <c r="D113" s="139"/>
      <c r="E113" s="140"/>
      <c r="F113" s="141"/>
      <c r="G113" s="142"/>
      <c r="H113" s="143"/>
      <c r="I113" s="144"/>
      <c r="J113" s="145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30" ht="19.5" customHeight="1" x14ac:dyDescent="0.2">
      <c r="A114" s="449" t="s">
        <v>252</v>
      </c>
      <c r="B114" s="310"/>
      <c r="C114" s="130" t="s">
        <v>235</v>
      </c>
      <c r="D114" s="131" t="s">
        <v>236</v>
      </c>
      <c r="E114" s="132" t="s">
        <v>237</v>
      </c>
      <c r="F114" s="133" t="s">
        <v>238</v>
      </c>
      <c r="G114" s="134" t="s">
        <v>239</v>
      </c>
      <c r="H114" s="135" t="s">
        <v>240</v>
      </c>
      <c r="I114" s="136" t="s">
        <v>241</v>
      </c>
      <c r="J114" s="137" t="s">
        <v>242</v>
      </c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30" ht="19.5" customHeight="1" x14ac:dyDescent="0.2">
      <c r="A115" s="62"/>
      <c r="B115" s="62"/>
      <c r="C115" s="138"/>
      <c r="D115" s="139"/>
      <c r="E115" s="140"/>
      <c r="F115" s="141"/>
      <c r="G115" s="142"/>
      <c r="H115" s="143"/>
      <c r="I115" s="144"/>
      <c r="J115" s="145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30" ht="19.5" customHeight="1" x14ac:dyDescent="0.2">
      <c r="A116" s="62"/>
      <c r="B116" s="62"/>
      <c r="C116" s="138"/>
      <c r="D116" s="139"/>
      <c r="E116" s="140"/>
      <c r="F116" s="141"/>
      <c r="G116" s="142"/>
      <c r="H116" s="143"/>
      <c r="I116" s="144"/>
      <c r="J116" s="145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13"/>
      <c r="AB116" s="13"/>
      <c r="AC116" s="13"/>
      <c r="AD116" s="13"/>
    </row>
    <row r="117" spans="1:30" ht="19.5" customHeight="1" x14ac:dyDescent="0.2">
      <c r="A117" s="62"/>
      <c r="B117" s="62"/>
      <c r="C117" s="138"/>
      <c r="D117" s="139"/>
      <c r="E117" s="140"/>
      <c r="F117" s="141"/>
      <c r="G117" s="142"/>
      <c r="H117" s="143"/>
      <c r="I117" s="144"/>
      <c r="J117" s="145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13"/>
      <c r="AB117" s="13"/>
      <c r="AC117" s="13"/>
      <c r="AD117" s="13"/>
    </row>
    <row r="118" spans="1:30" ht="19.5" customHeight="1" x14ac:dyDescent="0.2">
      <c r="A118" s="62"/>
      <c r="B118" s="62"/>
      <c r="C118" s="138"/>
      <c r="D118" s="139"/>
      <c r="E118" s="140"/>
      <c r="F118" s="141"/>
      <c r="G118" s="142"/>
      <c r="H118" s="143"/>
      <c r="I118" s="144"/>
      <c r="J118" s="145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13"/>
      <c r="AB118" s="13"/>
      <c r="AC118" s="13"/>
      <c r="AD118" s="13"/>
    </row>
    <row r="119" spans="1:30" ht="19.5" customHeight="1" x14ac:dyDescent="0.2">
      <c r="A119" s="62"/>
      <c r="B119" s="62"/>
      <c r="C119" s="138"/>
      <c r="D119" s="139"/>
      <c r="E119" s="140"/>
      <c r="F119" s="141"/>
      <c r="G119" s="142"/>
      <c r="H119" s="143"/>
      <c r="I119" s="144"/>
      <c r="J119" s="145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30" ht="19.5" customHeight="1" x14ac:dyDescent="0.2">
      <c r="A120" s="62"/>
      <c r="B120" s="62"/>
      <c r="C120" s="138"/>
      <c r="D120" s="139"/>
      <c r="E120" s="140"/>
      <c r="F120" s="141"/>
      <c r="G120" s="142"/>
      <c r="H120" s="143"/>
      <c r="I120" s="144"/>
      <c r="J120" s="145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30" ht="19.5" customHeight="1" x14ac:dyDescent="0.2">
      <c r="A121" s="62"/>
      <c r="B121" s="62"/>
      <c r="C121" s="138"/>
      <c r="D121" s="139"/>
      <c r="E121" s="140"/>
      <c r="F121" s="141"/>
      <c r="G121" s="142"/>
      <c r="H121" s="143"/>
      <c r="I121" s="144"/>
      <c r="J121" s="145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30" ht="19.5" customHeight="1" x14ac:dyDescent="0.2">
      <c r="A122" s="62"/>
      <c r="B122" s="62"/>
      <c r="C122" s="138"/>
      <c r="D122" s="139"/>
      <c r="E122" s="140"/>
      <c r="F122" s="141"/>
      <c r="G122" s="142"/>
      <c r="H122" s="143"/>
      <c r="I122" s="144"/>
      <c r="J122" s="145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30" ht="19.5" customHeight="1" x14ac:dyDescent="0.2">
      <c r="A123" s="62"/>
      <c r="B123" s="62"/>
      <c r="C123" s="138"/>
      <c r="D123" s="139"/>
      <c r="E123" s="140"/>
      <c r="F123" s="141"/>
      <c r="G123" s="142"/>
      <c r="H123" s="143"/>
      <c r="I123" s="144"/>
      <c r="J123" s="145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30" ht="19.5" customHeight="1" x14ac:dyDescent="0.2">
      <c r="A124" s="62"/>
      <c r="B124" s="62"/>
      <c r="C124" s="138"/>
      <c r="D124" s="139"/>
      <c r="E124" s="140"/>
      <c r="F124" s="141"/>
      <c r="G124" s="142"/>
      <c r="H124" s="143"/>
      <c r="I124" s="144"/>
      <c r="J124" s="145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30" ht="19.5" customHeight="1" x14ac:dyDescent="0.2">
      <c r="A125" s="449" t="s">
        <v>253</v>
      </c>
      <c r="B125" s="310"/>
      <c r="C125" s="146" t="s">
        <v>235</v>
      </c>
      <c r="D125" s="146" t="s">
        <v>236</v>
      </c>
      <c r="E125" s="146" t="s">
        <v>237</v>
      </c>
      <c r="F125" s="146" t="s">
        <v>238</v>
      </c>
      <c r="G125" s="146" t="s">
        <v>239</v>
      </c>
      <c r="H125" s="146" t="s">
        <v>240</v>
      </c>
      <c r="I125" s="146" t="s">
        <v>241</v>
      </c>
      <c r="J125" s="146" t="s">
        <v>242</v>
      </c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30" ht="19.5" customHeight="1" x14ac:dyDescent="0.2">
      <c r="A126" s="62"/>
      <c r="B126" s="62"/>
      <c r="C126" s="97"/>
      <c r="D126" s="97"/>
      <c r="E126" s="97"/>
      <c r="F126" s="97"/>
      <c r="G126" s="97"/>
      <c r="H126" s="97"/>
      <c r="I126" s="97"/>
      <c r="J126" s="97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30" ht="19.5" customHeight="1" x14ac:dyDescent="0.2">
      <c r="A127" s="62"/>
      <c r="B127" s="62"/>
      <c r="C127" s="97"/>
      <c r="D127" s="97"/>
      <c r="E127" s="97"/>
      <c r="F127" s="97"/>
      <c r="G127" s="97"/>
      <c r="H127" s="97"/>
      <c r="I127" s="97"/>
      <c r="J127" s="97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13"/>
      <c r="AB127" s="13"/>
      <c r="AC127" s="13"/>
      <c r="AD127" s="13"/>
    </row>
    <row r="128" spans="1:30" ht="19.5" customHeight="1" x14ac:dyDescent="0.2">
      <c r="A128" s="62"/>
      <c r="B128" s="62"/>
      <c r="C128" s="97"/>
      <c r="D128" s="97"/>
      <c r="E128" s="97"/>
      <c r="F128" s="97"/>
      <c r="G128" s="97"/>
      <c r="H128" s="97"/>
      <c r="I128" s="97"/>
      <c r="J128" s="97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13"/>
      <c r="AB128" s="13"/>
      <c r="AC128" s="13"/>
      <c r="AD128" s="13"/>
    </row>
    <row r="129" spans="1:30" ht="19.5" customHeight="1" x14ac:dyDescent="0.2">
      <c r="A129" s="62"/>
      <c r="B129" s="62"/>
      <c r="C129" s="97"/>
      <c r="D129" s="97"/>
      <c r="E129" s="97"/>
      <c r="F129" s="97"/>
      <c r="G129" s="97"/>
      <c r="H129" s="97"/>
      <c r="I129" s="97"/>
      <c r="J129" s="97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13"/>
      <c r="AB129" s="13"/>
      <c r="AC129" s="13"/>
      <c r="AD129" s="13"/>
    </row>
    <row r="130" spans="1:30" ht="19.5" customHeight="1" x14ac:dyDescent="0.2">
      <c r="A130" s="62"/>
      <c r="B130" s="62"/>
      <c r="C130" s="97"/>
      <c r="D130" s="97"/>
      <c r="E130" s="97"/>
      <c r="F130" s="97"/>
      <c r="G130" s="97"/>
      <c r="H130" s="97"/>
      <c r="I130" s="97"/>
      <c r="J130" s="97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30" ht="19.5" customHeight="1" x14ac:dyDescent="0.2">
      <c r="A131" s="62"/>
      <c r="B131" s="62"/>
      <c r="C131" s="97"/>
      <c r="D131" s="97"/>
      <c r="E131" s="97"/>
      <c r="F131" s="97"/>
      <c r="G131" s="97"/>
      <c r="H131" s="97"/>
      <c r="I131" s="97"/>
      <c r="J131" s="97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30" ht="19.5" customHeight="1" x14ac:dyDescent="0.2">
      <c r="A132" s="62"/>
      <c r="B132" s="62"/>
      <c r="C132" s="97"/>
      <c r="D132" s="97"/>
      <c r="E132" s="97"/>
      <c r="F132" s="97"/>
      <c r="G132" s="97"/>
      <c r="H132" s="97"/>
      <c r="I132" s="97"/>
      <c r="J132" s="97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30" ht="19.5" customHeight="1" x14ac:dyDescent="0.2">
      <c r="A133" s="62"/>
      <c r="B133" s="62"/>
      <c r="C133" s="97"/>
      <c r="D133" s="97"/>
      <c r="E133" s="97"/>
      <c r="F133" s="97"/>
      <c r="G133" s="97"/>
      <c r="H133" s="97"/>
      <c r="I133" s="97"/>
      <c r="J133" s="97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30" ht="19.5" customHeight="1" x14ac:dyDescent="0.2">
      <c r="A134" s="62"/>
      <c r="B134" s="62"/>
      <c r="C134" s="97"/>
      <c r="D134" s="97"/>
      <c r="E134" s="97"/>
      <c r="F134" s="97"/>
      <c r="G134" s="97"/>
      <c r="H134" s="97"/>
      <c r="I134" s="97"/>
      <c r="J134" s="97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30" ht="19.5" customHeight="1" x14ac:dyDescent="0.2">
      <c r="A135" s="62"/>
      <c r="B135" s="62"/>
      <c r="C135" s="97"/>
      <c r="D135" s="97"/>
      <c r="E135" s="97"/>
      <c r="F135" s="97"/>
      <c r="G135" s="97"/>
      <c r="H135" s="97"/>
      <c r="I135" s="97"/>
      <c r="J135" s="97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30" ht="19.5" customHeight="1" x14ac:dyDescent="0.2">
      <c r="A136" s="449" t="s">
        <v>254</v>
      </c>
      <c r="B136" s="310"/>
      <c r="C136" s="146" t="s">
        <v>235</v>
      </c>
      <c r="D136" s="146" t="s">
        <v>236</v>
      </c>
      <c r="E136" s="146" t="s">
        <v>237</v>
      </c>
      <c r="F136" s="146" t="s">
        <v>238</v>
      </c>
      <c r="G136" s="146" t="s">
        <v>239</v>
      </c>
      <c r="H136" s="146" t="s">
        <v>240</v>
      </c>
      <c r="I136" s="146" t="s">
        <v>241</v>
      </c>
      <c r="J136" s="146" t="s">
        <v>242</v>
      </c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30" ht="19.5" customHeight="1" x14ac:dyDescent="0.2">
      <c r="A137" s="62"/>
      <c r="B137" s="62"/>
      <c r="C137" s="97"/>
      <c r="D137" s="97"/>
      <c r="E137" s="97"/>
      <c r="F137" s="97"/>
      <c r="G137" s="97"/>
      <c r="H137" s="97"/>
      <c r="I137" s="97"/>
      <c r="J137" s="97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30" ht="19.5" customHeight="1" x14ac:dyDescent="0.2">
      <c r="A138" s="62"/>
      <c r="B138" s="62"/>
      <c r="C138" s="97"/>
      <c r="D138" s="97"/>
      <c r="E138" s="97"/>
      <c r="F138" s="97"/>
      <c r="G138" s="97"/>
      <c r="H138" s="97"/>
      <c r="I138" s="97"/>
      <c r="J138" s="97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30" ht="19.5" customHeight="1" x14ac:dyDescent="0.2">
      <c r="A139" s="62"/>
      <c r="B139" s="62"/>
      <c r="C139" s="97"/>
      <c r="D139" s="97"/>
      <c r="E139" s="97"/>
      <c r="F139" s="97"/>
      <c r="G139" s="97"/>
      <c r="H139" s="97"/>
      <c r="I139" s="97"/>
      <c r="J139" s="97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30" ht="19.5" customHeight="1" x14ac:dyDescent="0.2">
      <c r="A140" s="62"/>
      <c r="B140" s="62"/>
      <c r="C140" s="97"/>
      <c r="D140" s="97"/>
      <c r="E140" s="97"/>
      <c r="F140" s="97"/>
      <c r="G140" s="97"/>
      <c r="H140" s="97"/>
      <c r="I140" s="97"/>
      <c r="J140" s="97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30" ht="19.5" customHeight="1" x14ac:dyDescent="0.2">
      <c r="A141" s="62"/>
      <c r="B141" s="62"/>
      <c r="C141" s="97"/>
      <c r="D141" s="97"/>
      <c r="E141" s="97"/>
      <c r="F141" s="97"/>
      <c r="G141" s="97"/>
      <c r="H141" s="97"/>
      <c r="I141" s="97"/>
      <c r="J141" s="97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30" ht="19.5" customHeight="1" x14ac:dyDescent="0.2">
      <c r="A142" s="62"/>
      <c r="B142" s="62"/>
      <c r="C142" s="97"/>
      <c r="D142" s="97"/>
      <c r="E142" s="97"/>
      <c r="F142" s="97"/>
      <c r="G142" s="97"/>
      <c r="H142" s="97"/>
      <c r="I142" s="97"/>
      <c r="J142" s="97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30" ht="19.5" customHeight="1" x14ac:dyDescent="0.2">
      <c r="A143" s="62"/>
      <c r="B143" s="62"/>
      <c r="C143" s="97"/>
      <c r="D143" s="97"/>
      <c r="E143" s="97"/>
      <c r="F143" s="97"/>
      <c r="G143" s="97"/>
      <c r="H143" s="97"/>
      <c r="I143" s="97"/>
      <c r="J143" s="97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30" ht="19.5" customHeight="1" x14ac:dyDescent="0.2">
      <c r="A144" s="449" t="s">
        <v>255</v>
      </c>
      <c r="B144" s="310"/>
      <c r="C144" s="146" t="s">
        <v>235</v>
      </c>
      <c r="D144" s="146" t="s">
        <v>236</v>
      </c>
      <c r="E144" s="146" t="s">
        <v>237</v>
      </c>
      <c r="F144" s="146" t="s">
        <v>238</v>
      </c>
      <c r="G144" s="146" t="s">
        <v>239</v>
      </c>
      <c r="H144" s="146" t="s">
        <v>240</v>
      </c>
      <c r="I144" s="146" t="s">
        <v>241</v>
      </c>
      <c r="J144" s="146" t="s">
        <v>242</v>
      </c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9.5" customHeight="1" x14ac:dyDescent="0.2">
      <c r="A145" s="62"/>
      <c r="B145" s="62"/>
      <c r="C145" s="97"/>
      <c r="D145" s="97"/>
      <c r="E145" s="97"/>
      <c r="F145" s="97"/>
      <c r="G145" s="97"/>
      <c r="H145" s="97"/>
      <c r="I145" s="97"/>
      <c r="J145" s="97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9.5" customHeight="1" x14ac:dyDescent="0.2">
      <c r="A146" s="62"/>
      <c r="B146" s="62"/>
      <c r="C146" s="97"/>
      <c r="D146" s="97"/>
      <c r="E146" s="97"/>
      <c r="F146" s="97"/>
      <c r="G146" s="97"/>
      <c r="H146" s="97"/>
      <c r="I146" s="97"/>
      <c r="J146" s="97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9.5" customHeight="1" x14ac:dyDescent="0.2">
      <c r="A147" s="62"/>
      <c r="B147" s="62"/>
      <c r="C147" s="97"/>
      <c r="D147" s="97"/>
      <c r="E147" s="97"/>
      <c r="F147" s="97"/>
      <c r="G147" s="97"/>
      <c r="H147" s="97"/>
      <c r="I147" s="97"/>
      <c r="J147" s="97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9.5" customHeight="1" x14ac:dyDescent="0.2">
      <c r="A148" s="62"/>
      <c r="B148" s="62"/>
      <c r="C148" s="97"/>
      <c r="D148" s="97"/>
      <c r="E148" s="97"/>
      <c r="F148" s="97"/>
      <c r="G148" s="97"/>
      <c r="H148" s="97"/>
      <c r="I148" s="97"/>
      <c r="J148" s="97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9.5" customHeight="1" x14ac:dyDescent="0.2">
      <c r="A149" s="62"/>
      <c r="B149" s="62"/>
      <c r="C149" s="97"/>
      <c r="D149" s="97"/>
      <c r="E149" s="97"/>
      <c r="F149" s="97"/>
      <c r="G149" s="97"/>
      <c r="H149" s="97"/>
      <c r="I149" s="97"/>
      <c r="J149" s="97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9.5" customHeight="1" x14ac:dyDescent="0.2">
      <c r="A150" s="62"/>
      <c r="B150" s="62"/>
      <c r="C150" s="97"/>
      <c r="D150" s="97"/>
      <c r="E150" s="97"/>
      <c r="F150" s="97"/>
      <c r="G150" s="97"/>
      <c r="H150" s="97"/>
      <c r="I150" s="97"/>
      <c r="J150" s="97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9.5" customHeight="1" x14ac:dyDescent="0.2">
      <c r="A151" s="62"/>
      <c r="B151" s="62"/>
      <c r="C151" s="97"/>
      <c r="D151" s="97"/>
      <c r="E151" s="97"/>
      <c r="F151" s="97"/>
      <c r="G151" s="97"/>
      <c r="H151" s="97"/>
      <c r="I151" s="97"/>
      <c r="J151" s="97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9.5" customHeight="1" x14ac:dyDescent="0.2">
      <c r="A152" s="449" t="s">
        <v>256</v>
      </c>
      <c r="B152" s="310"/>
      <c r="C152" s="146" t="s">
        <v>235</v>
      </c>
      <c r="D152" s="146" t="s">
        <v>236</v>
      </c>
      <c r="E152" s="146" t="s">
        <v>237</v>
      </c>
      <c r="F152" s="146" t="s">
        <v>238</v>
      </c>
      <c r="G152" s="146" t="s">
        <v>239</v>
      </c>
      <c r="H152" s="146" t="s">
        <v>240</v>
      </c>
      <c r="I152" s="146" t="s">
        <v>241</v>
      </c>
      <c r="J152" s="146" t="s">
        <v>242</v>
      </c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9.5" customHeight="1" x14ac:dyDescent="0.2">
      <c r="A153" s="62"/>
      <c r="B153" s="62"/>
      <c r="C153" s="97"/>
      <c r="D153" s="97"/>
      <c r="E153" s="97"/>
      <c r="F153" s="97"/>
      <c r="G153" s="97"/>
      <c r="H153" s="97"/>
      <c r="I153" s="97"/>
      <c r="J153" s="97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9.5" customHeight="1" x14ac:dyDescent="0.2">
      <c r="A154" s="62"/>
      <c r="B154" s="62"/>
      <c r="C154" s="97"/>
      <c r="D154" s="97"/>
      <c r="E154" s="97"/>
      <c r="F154" s="97"/>
      <c r="G154" s="97"/>
      <c r="H154" s="97"/>
      <c r="I154" s="97"/>
      <c r="J154" s="97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9.5" customHeight="1" x14ac:dyDescent="0.2">
      <c r="A155" s="62"/>
      <c r="B155" s="62"/>
      <c r="C155" s="97"/>
      <c r="D155" s="97"/>
      <c r="E155" s="97"/>
      <c r="F155" s="97"/>
      <c r="G155" s="97"/>
      <c r="H155" s="97"/>
      <c r="I155" s="97"/>
      <c r="J155" s="97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9.5" customHeight="1" x14ac:dyDescent="0.2">
      <c r="A156" s="62"/>
      <c r="B156" s="62"/>
      <c r="C156" s="97"/>
      <c r="D156" s="97"/>
      <c r="E156" s="97"/>
      <c r="F156" s="97"/>
      <c r="G156" s="97"/>
      <c r="H156" s="97"/>
      <c r="I156" s="97"/>
      <c r="J156" s="97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9.5" customHeight="1" x14ac:dyDescent="0.2">
      <c r="A157" s="62"/>
      <c r="B157" s="62"/>
      <c r="C157" s="97"/>
      <c r="D157" s="97"/>
      <c r="E157" s="97"/>
      <c r="F157" s="97"/>
      <c r="G157" s="97"/>
      <c r="H157" s="97"/>
      <c r="I157" s="97"/>
      <c r="J157" s="97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9.5" customHeight="1" x14ac:dyDescent="0.2">
      <c r="A158" s="62"/>
      <c r="B158" s="62"/>
      <c r="C158" s="97"/>
      <c r="D158" s="97"/>
      <c r="E158" s="97"/>
      <c r="F158" s="97"/>
      <c r="G158" s="97"/>
      <c r="H158" s="97"/>
      <c r="I158" s="97"/>
      <c r="J158" s="97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9.5" customHeight="1" x14ac:dyDescent="0.2">
      <c r="A159" s="62"/>
      <c r="B159" s="62"/>
      <c r="C159" s="97"/>
      <c r="D159" s="97"/>
      <c r="E159" s="97"/>
      <c r="F159" s="97"/>
      <c r="G159" s="97"/>
      <c r="H159" s="97"/>
      <c r="I159" s="97"/>
      <c r="J159" s="97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9.5" customHeight="1" x14ac:dyDescent="0.2">
      <c r="A160" s="449" t="s">
        <v>257</v>
      </c>
      <c r="B160" s="310"/>
      <c r="C160" s="146" t="s">
        <v>235</v>
      </c>
      <c r="D160" s="146" t="s">
        <v>236</v>
      </c>
      <c r="E160" s="146" t="s">
        <v>237</v>
      </c>
      <c r="F160" s="146" t="s">
        <v>238</v>
      </c>
      <c r="G160" s="146" t="s">
        <v>239</v>
      </c>
      <c r="H160" s="146" t="s">
        <v>240</v>
      </c>
      <c r="I160" s="146" t="s">
        <v>241</v>
      </c>
      <c r="J160" s="146" t="s">
        <v>242</v>
      </c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9.5" customHeight="1" x14ac:dyDescent="0.2">
      <c r="A161" s="62"/>
      <c r="B161" s="62"/>
      <c r="C161" s="97"/>
      <c r="D161" s="97"/>
      <c r="E161" s="97"/>
      <c r="F161" s="97"/>
      <c r="G161" s="97"/>
      <c r="H161" s="97"/>
      <c r="I161" s="97"/>
      <c r="J161" s="97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9.5" customHeight="1" x14ac:dyDescent="0.2">
      <c r="A162" s="62"/>
      <c r="B162" s="62"/>
      <c r="C162" s="97"/>
      <c r="D162" s="97"/>
      <c r="E162" s="97"/>
      <c r="F162" s="97"/>
      <c r="G162" s="97"/>
      <c r="H162" s="97"/>
      <c r="I162" s="97"/>
      <c r="J162" s="97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9.5" customHeight="1" x14ac:dyDescent="0.2">
      <c r="A163" s="62"/>
      <c r="B163" s="62"/>
      <c r="C163" s="97"/>
      <c r="D163" s="97"/>
      <c r="E163" s="97"/>
      <c r="F163" s="97"/>
      <c r="G163" s="97"/>
      <c r="H163" s="97"/>
      <c r="I163" s="97"/>
      <c r="J163" s="97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9.5" customHeight="1" x14ac:dyDescent="0.2">
      <c r="A164" s="62"/>
      <c r="B164" s="62"/>
      <c r="C164" s="97"/>
      <c r="D164" s="97"/>
      <c r="E164" s="97"/>
      <c r="F164" s="97"/>
      <c r="G164" s="97"/>
      <c r="H164" s="97"/>
      <c r="I164" s="97"/>
      <c r="J164" s="97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9.5" customHeight="1" x14ac:dyDescent="0.2">
      <c r="A165" s="62"/>
      <c r="B165" s="62"/>
      <c r="C165" s="97"/>
      <c r="D165" s="97"/>
      <c r="E165" s="97"/>
      <c r="F165" s="97"/>
      <c r="G165" s="97"/>
      <c r="H165" s="97"/>
      <c r="I165" s="97"/>
      <c r="J165" s="97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9.5" customHeight="1" x14ac:dyDescent="0.2">
      <c r="A166" s="62"/>
      <c r="B166" s="62"/>
      <c r="C166" s="97"/>
      <c r="D166" s="97"/>
      <c r="E166" s="97"/>
      <c r="F166" s="97"/>
      <c r="G166" s="97"/>
      <c r="H166" s="97"/>
      <c r="I166" s="97"/>
      <c r="J166" s="97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9.5" customHeight="1" x14ac:dyDescent="0.2">
      <c r="A167" s="62"/>
      <c r="B167" s="62"/>
      <c r="C167" s="97"/>
      <c r="D167" s="97"/>
      <c r="E167" s="97"/>
      <c r="F167" s="97"/>
      <c r="G167" s="97"/>
      <c r="H167" s="97"/>
      <c r="I167" s="97"/>
      <c r="J167" s="97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9.5" customHeight="1" x14ac:dyDescent="0.2">
      <c r="A168" s="449" t="s">
        <v>258</v>
      </c>
      <c r="B168" s="310"/>
      <c r="C168" s="146" t="s">
        <v>235</v>
      </c>
      <c r="D168" s="146" t="s">
        <v>236</v>
      </c>
      <c r="E168" s="146" t="s">
        <v>237</v>
      </c>
      <c r="F168" s="146" t="s">
        <v>238</v>
      </c>
      <c r="G168" s="146" t="s">
        <v>239</v>
      </c>
      <c r="H168" s="146" t="s">
        <v>240</v>
      </c>
      <c r="I168" s="146" t="s">
        <v>241</v>
      </c>
      <c r="J168" s="146" t="s">
        <v>242</v>
      </c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9.5" customHeight="1" x14ac:dyDescent="0.2">
      <c r="A169" s="62"/>
      <c r="B169" s="62"/>
      <c r="C169" s="97"/>
      <c r="D169" s="97"/>
      <c r="E169" s="97"/>
      <c r="F169" s="97"/>
      <c r="G169" s="97"/>
      <c r="H169" s="97"/>
      <c r="I169" s="97"/>
      <c r="J169" s="97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9.5" customHeight="1" x14ac:dyDescent="0.2">
      <c r="A170" s="62"/>
      <c r="B170" s="62"/>
      <c r="C170" s="97"/>
      <c r="D170" s="97"/>
      <c r="E170" s="97"/>
      <c r="F170" s="97"/>
      <c r="G170" s="97"/>
      <c r="H170" s="97"/>
      <c r="I170" s="97"/>
      <c r="J170" s="97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9.5" customHeight="1" x14ac:dyDescent="0.2">
      <c r="A171" s="62"/>
      <c r="B171" s="62"/>
      <c r="C171" s="97"/>
      <c r="D171" s="97"/>
      <c r="E171" s="97"/>
      <c r="F171" s="97"/>
      <c r="G171" s="97"/>
      <c r="H171" s="97"/>
      <c r="I171" s="97"/>
      <c r="J171" s="97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9.5" customHeight="1" x14ac:dyDescent="0.2">
      <c r="A172" s="62"/>
      <c r="B172" s="62"/>
      <c r="C172" s="97"/>
      <c r="D172" s="97"/>
      <c r="E172" s="97"/>
      <c r="F172" s="97"/>
      <c r="G172" s="97"/>
      <c r="H172" s="97"/>
      <c r="I172" s="97"/>
      <c r="J172" s="97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9.5" customHeight="1" x14ac:dyDescent="0.2">
      <c r="A173" s="62"/>
      <c r="B173" s="62"/>
      <c r="C173" s="97"/>
      <c r="D173" s="97"/>
      <c r="E173" s="97"/>
      <c r="F173" s="97"/>
      <c r="G173" s="97"/>
      <c r="H173" s="97"/>
      <c r="I173" s="97"/>
      <c r="J173" s="97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9.5" customHeight="1" x14ac:dyDescent="0.2">
      <c r="A174" s="62"/>
      <c r="B174" s="62"/>
      <c r="C174" s="97"/>
      <c r="D174" s="97"/>
      <c r="E174" s="97"/>
      <c r="F174" s="97"/>
      <c r="G174" s="97"/>
      <c r="H174" s="97"/>
      <c r="I174" s="97"/>
      <c r="J174" s="97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9.5" customHeight="1" x14ac:dyDescent="0.2">
      <c r="A175" s="62"/>
      <c r="B175" s="62"/>
      <c r="C175" s="97"/>
      <c r="D175" s="97"/>
      <c r="E175" s="97"/>
      <c r="F175" s="97"/>
      <c r="G175" s="97"/>
      <c r="H175" s="97"/>
      <c r="I175" s="97"/>
      <c r="J175" s="97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9.5" customHeight="1" x14ac:dyDescent="0.2">
      <c r="A176" s="449" t="s">
        <v>259</v>
      </c>
      <c r="B176" s="310"/>
      <c r="C176" s="146" t="s">
        <v>235</v>
      </c>
      <c r="D176" s="146" t="s">
        <v>236</v>
      </c>
      <c r="E176" s="146" t="s">
        <v>237</v>
      </c>
      <c r="F176" s="146" t="s">
        <v>238</v>
      </c>
      <c r="G176" s="146" t="s">
        <v>239</v>
      </c>
      <c r="H176" s="146" t="s">
        <v>240</v>
      </c>
      <c r="I176" s="146" t="s">
        <v>241</v>
      </c>
      <c r="J176" s="146" t="s">
        <v>242</v>
      </c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9.5" customHeight="1" x14ac:dyDescent="0.2">
      <c r="A177" s="62"/>
      <c r="B177" s="62"/>
      <c r="C177" s="97"/>
      <c r="D177" s="97"/>
      <c r="E177" s="97"/>
      <c r="F177" s="97"/>
      <c r="G177" s="97"/>
      <c r="H177" s="97"/>
      <c r="I177" s="97"/>
      <c r="J177" s="97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9.5" customHeight="1" x14ac:dyDescent="0.2">
      <c r="A178" s="62"/>
      <c r="B178" s="62"/>
      <c r="C178" s="97"/>
      <c r="D178" s="97"/>
      <c r="E178" s="97"/>
      <c r="F178" s="97"/>
      <c r="G178" s="97"/>
      <c r="H178" s="97"/>
      <c r="I178" s="97"/>
      <c r="J178" s="97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9.5" customHeight="1" x14ac:dyDescent="0.2">
      <c r="A179" s="62"/>
      <c r="B179" s="62"/>
      <c r="C179" s="97"/>
      <c r="D179" s="97"/>
      <c r="E179" s="97"/>
      <c r="F179" s="97"/>
      <c r="G179" s="97"/>
      <c r="H179" s="97"/>
      <c r="I179" s="97"/>
      <c r="J179" s="97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9.5" customHeight="1" x14ac:dyDescent="0.2">
      <c r="A180" s="62"/>
      <c r="B180" s="62"/>
      <c r="C180" s="97"/>
      <c r="D180" s="97"/>
      <c r="E180" s="97"/>
      <c r="F180" s="97"/>
      <c r="G180" s="97"/>
      <c r="H180" s="97"/>
      <c r="I180" s="97"/>
      <c r="J180" s="97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9.5" customHeight="1" x14ac:dyDescent="0.2">
      <c r="A181" s="62"/>
      <c r="B181" s="62"/>
      <c r="C181" s="97"/>
      <c r="D181" s="97"/>
      <c r="E181" s="97"/>
      <c r="F181" s="97"/>
      <c r="G181" s="97"/>
      <c r="H181" s="97"/>
      <c r="I181" s="97"/>
      <c r="J181" s="97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9.5" customHeight="1" x14ac:dyDescent="0.2">
      <c r="A182" s="62"/>
      <c r="B182" s="62"/>
      <c r="C182" s="97"/>
      <c r="D182" s="97"/>
      <c r="E182" s="97"/>
      <c r="F182" s="97"/>
      <c r="G182" s="97"/>
      <c r="H182" s="97"/>
      <c r="I182" s="97"/>
      <c r="J182" s="97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9.5" customHeight="1" x14ac:dyDescent="0.2">
      <c r="A183" s="62"/>
      <c r="B183" s="62"/>
      <c r="C183" s="97"/>
      <c r="D183" s="97"/>
      <c r="E183" s="97"/>
      <c r="F183" s="97"/>
      <c r="G183" s="97"/>
      <c r="H183" s="97"/>
      <c r="I183" s="97"/>
      <c r="J183" s="97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9.5" customHeight="1" x14ac:dyDescent="0.2">
      <c r="A184" s="449" t="s">
        <v>260</v>
      </c>
      <c r="B184" s="310"/>
      <c r="C184" s="146" t="s">
        <v>235</v>
      </c>
      <c r="D184" s="146" t="s">
        <v>236</v>
      </c>
      <c r="E184" s="146" t="s">
        <v>237</v>
      </c>
      <c r="F184" s="146" t="s">
        <v>238</v>
      </c>
      <c r="G184" s="146" t="s">
        <v>239</v>
      </c>
      <c r="H184" s="146" t="s">
        <v>240</v>
      </c>
      <c r="I184" s="146" t="s">
        <v>241</v>
      </c>
      <c r="J184" s="146" t="s">
        <v>242</v>
      </c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9.5" customHeight="1" x14ac:dyDescent="0.2">
      <c r="A185" s="62"/>
      <c r="B185" s="62"/>
      <c r="C185" s="97"/>
      <c r="D185" s="97"/>
      <c r="E185" s="97"/>
      <c r="F185" s="97"/>
      <c r="G185" s="97"/>
      <c r="H185" s="97"/>
      <c r="I185" s="97"/>
      <c r="J185" s="97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9.5" customHeight="1" x14ac:dyDescent="0.2">
      <c r="A186" s="62"/>
      <c r="B186" s="62"/>
      <c r="C186" s="97"/>
      <c r="D186" s="97"/>
      <c r="E186" s="97"/>
      <c r="F186" s="97"/>
      <c r="G186" s="97"/>
      <c r="H186" s="97"/>
      <c r="I186" s="97"/>
      <c r="J186" s="97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9.5" customHeight="1" x14ac:dyDescent="0.2">
      <c r="A187" s="62"/>
      <c r="B187" s="62"/>
      <c r="C187" s="97"/>
      <c r="D187" s="97"/>
      <c r="E187" s="97"/>
      <c r="F187" s="97"/>
      <c r="G187" s="97"/>
      <c r="H187" s="97"/>
      <c r="I187" s="97"/>
      <c r="J187" s="97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9.5" customHeight="1" x14ac:dyDescent="0.2">
      <c r="A188" s="62"/>
      <c r="B188" s="62"/>
      <c r="C188" s="97"/>
      <c r="D188" s="97"/>
      <c r="E188" s="97"/>
      <c r="F188" s="97"/>
      <c r="G188" s="97"/>
      <c r="H188" s="97"/>
      <c r="I188" s="97"/>
      <c r="J188" s="97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9.5" customHeight="1" x14ac:dyDescent="0.2">
      <c r="A189" s="62"/>
      <c r="B189" s="62"/>
      <c r="C189" s="97"/>
      <c r="D189" s="97"/>
      <c r="E189" s="97"/>
      <c r="F189" s="97"/>
      <c r="G189" s="97"/>
      <c r="H189" s="97"/>
      <c r="I189" s="97"/>
      <c r="J189" s="97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9.5" customHeight="1" x14ac:dyDescent="0.2">
      <c r="A190" s="62"/>
      <c r="B190" s="62"/>
      <c r="C190" s="97"/>
      <c r="D190" s="97"/>
      <c r="E190" s="97"/>
      <c r="F190" s="97"/>
      <c r="G190" s="97"/>
      <c r="H190" s="97"/>
      <c r="I190" s="97"/>
      <c r="J190" s="97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9.5" customHeight="1" x14ac:dyDescent="0.2">
      <c r="A191" s="62"/>
      <c r="B191" s="62"/>
      <c r="C191" s="97"/>
      <c r="D191" s="97"/>
      <c r="E191" s="97"/>
      <c r="F191" s="97"/>
      <c r="G191" s="97"/>
      <c r="H191" s="97"/>
      <c r="I191" s="97"/>
      <c r="J191" s="97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9.5" customHeight="1" x14ac:dyDescent="0.2">
      <c r="A192" s="449" t="s">
        <v>261</v>
      </c>
      <c r="B192" s="310"/>
      <c r="C192" s="146" t="s">
        <v>235</v>
      </c>
      <c r="D192" s="146" t="s">
        <v>236</v>
      </c>
      <c r="E192" s="146" t="s">
        <v>237</v>
      </c>
      <c r="F192" s="146" t="s">
        <v>238</v>
      </c>
      <c r="G192" s="146" t="s">
        <v>239</v>
      </c>
      <c r="H192" s="146" t="s">
        <v>240</v>
      </c>
      <c r="I192" s="146" t="s">
        <v>241</v>
      </c>
      <c r="J192" s="146" t="s">
        <v>242</v>
      </c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9.5" customHeight="1" x14ac:dyDescent="0.2">
      <c r="A193" s="62"/>
      <c r="B193" s="62"/>
      <c r="C193" s="97"/>
      <c r="D193" s="97"/>
      <c r="E193" s="97"/>
      <c r="F193" s="97"/>
      <c r="G193" s="97"/>
      <c r="H193" s="97"/>
      <c r="I193" s="97"/>
      <c r="J193" s="97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9.5" customHeight="1" x14ac:dyDescent="0.2">
      <c r="A194" s="62"/>
      <c r="B194" s="62"/>
      <c r="C194" s="97"/>
      <c r="D194" s="97"/>
      <c r="E194" s="97"/>
      <c r="F194" s="97"/>
      <c r="G194" s="97"/>
      <c r="H194" s="97"/>
      <c r="I194" s="97"/>
      <c r="J194" s="97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9.5" customHeight="1" x14ac:dyDescent="0.2">
      <c r="A195" s="62"/>
      <c r="B195" s="62"/>
      <c r="C195" s="97"/>
      <c r="D195" s="97"/>
      <c r="E195" s="97"/>
      <c r="F195" s="97"/>
      <c r="G195" s="97"/>
      <c r="H195" s="97"/>
      <c r="I195" s="97"/>
      <c r="J195" s="97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9.5" customHeight="1" x14ac:dyDescent="0.2">
      <c r="A196" s="62"/>
      <c r="B196" s="62"/>
      <c r="C196" s="97"/>
      <c r="D196" s="97"/>
      <c r="E196" s="97"/>
      <c r="F196" s="97"/>
      <c r="G196" s="97"/>
      <c r="H196" s="97"/>
      <c r="I196" s="97"/>
      <c r="J196" s="97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9.5" customHeight="1" x14ac:dyDescent="0.2">
      <c r="A197" s="62"/>
      <c r="B197" s="62"/>
      <c r="C197" s="97"/>
      <c r="D197" s="97"/>
      <c r="E197" s="97"/>
      <c r="F197" s="97"/>
      <c r="G197" s="97"/>
      <c r="H197" s="97"/>
      <c r="I197" s="97"/>
      <c r="J197" s="97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9.5" customHeight="1" x14ac:dyDescent="0.2">
      <c r="A198" s="62"/>
      <c r="B198" s="62"/>
      <c r="C198" s="97"/>
      <c r="D198" s="97"/>
      <c r="E198" s="97"/>
      <c r="F198" s="97"/>
      <c r="G198" s="97"/>
      <c r="H198" s="97"/>
      <c r="I198" s="97"/>
      <c r="J198" s="97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9.5" customHeight="1" x14ac:dyDescent="0.2">
      <c r="A199" s="62"/>
      <c r="B199" s="62"/>
      <c r="C199" s="97"/>
      <c r="D199" s="97"/>
      <c r="E199" s="97"/>
      <c r="F199" s="97"/>
      <c r="G199" s="97"/>
      <c r="H199" s="97"/>
      <c r="I199" s="97"/>
      <c r="J199" s="97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2.75" customHeight="1" x14ac:dyDescent="0.2">
      <c r="A200" s="450"/>
      <c r="B200" s="331"/>
      <c r="C200" s="147"/>
      <c r="D200" s="147"/>
      <c r="E200" s="147"/>
      <c r="F200" s="147"/>
      <c r="G200" s="147"/>
      <c r="H200" s="147"/>
      <c r="I200" s="147"/>
      <c r="J200" s="147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2.75" customHeight="1" x14ac:dyDescent="0.2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2.75" customHeight="1" x14ac:dyDescent="0.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2.75" customHeight="1" x14ac:dyDescent="0.2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2.75" customHeight="1" x14ac:dyDescent="0.2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2.75" customHeight="1" x14ac:dyDescent="0.2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2.75" customHeight="1" x14ac:dyDescent="0.2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2.75" customHeight="1" x14ac:dyDescent="0.2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2.75" customHeight="1" x14ac:dyDescent="0.2">
      <c r="A208" s="450"/>
      <c r="B208" s="331"/>
      <c r="C208" s="147"/>
      <c r="D208" s="147"/>
      <c r="E208" s="147"/>
      <c r="F208" s="147"/>
      <c r="G208" s="147"/>
      <c r="H208" s="147"/>
      <c r="I208" s="147"/>
      <c r="J208" s="147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2.75" customHeight="1" x14ac:dyDescent="0.2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2.75" customHeight="1" x14ac:dyDescent="0.2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2.75" customHeight="1" x14ac:dyDescent="0.2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2.75" customHeight="1" x14ac:dyDescent="0.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2.75" customHeight="1" x14ac:dyDescent="0.2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2.75" customHeight="1" x14ac:dyDescent="0.2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2.75" customHeight="1" x14ac:dyDescent="0.2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2.75" customHeight="1" x14ac:dyDescent="0.2">
      <c r="A216" s="450"/>
      <c r="B216" s="331"/>
      <c r="C216" s="147"/>
      <c r="D216" s="147"/>
      <c r="E216" s="147"/>
      <c r="F216" s="147"/>
      <c r="G216" s="147"/>
      <c r="H216" s="147"/>
      <c r="I216" s="147"/>
      <c r="J216" s="147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2.75" customHeight="1" x14ac:dyDescent="0.2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2.75" customHeight="1" x14ac:dyDescent="0.2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2.75" customHeight="1" x14ac:dyDescent="0.2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2.75" customHeight="1" x14ac:dyDescent="0.2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2.75" customHeight="1" x14ac:dyDescent="0.2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2.75" customHeight="1" x14ac:dyDescent="0.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2.75" customHeight="1" x14ac:dyDescent="0.2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2.75" customHeight="1" x14ac:dyDescent="0.2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2.75" customHeight="1" x14ac:dyDescent="0.2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2.75" customHeight="1" x14ac:dyDescent="0.2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2.75" customHeight="1" x14ac:dyDescent="0.2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2.75" customHeight="1" x14ac:dyDescent="0.2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2.75" customHeight="1" x14ac:dyDescent="0.2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2.75" customHeight="1" x14ac:dyDescent="0.2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2.75" customHeight="1" x14ac:dyDescent="0.2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2.75" customHeight="1" x14ac:dyDescent="0.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2.75" customHeight="1" x14ac:dyDescent="0.2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2.75" customHeight="1" x14ac:dyDescent="0.2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2.75" customHeight="1" x14ac:dyDescent="0.2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2.75" customHeight="1" x14ac:dyDescent="0.2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2.75" customHeight="1" x14ac:dyDescent="0.2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2.75" customHeight="1" x14ac:dyDescent="0.2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2.75" customHeight="1" x14ac:dyDescent="0.2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2.75" customHeight="1" x14ac:dyDescent="0.2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2.75" customHeight="1" x14ac:dyDescent="0.2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2.75" customHeight="1" x14ac:dyDescent="0.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2.75" customHeight="1" x14ac:dyDescent="0.2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2.75" customHeight="1" x14ac:dyDescent="0.2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2.75" customHeight="1" x14ac:dyDescent="0.2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2.75" customHeight="1" x14ac:dyDescent="0.2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2.75" customHeight="1" x14ac:dyDescent="0.2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2.75" customHeight="1" x14ac:dyDescent="0.2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2.75" customHeight="1" x14ac:dyDescent="0.2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2.75" customHeight="1" x14ac:dyDescent="0.2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2.75" customHeight="1" x14ac:dyDescent="0.2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2.75" customHeight="1" x14ac:dyDescent="0.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2.75" customHeight="1" x14ac:dyDescent="0.2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2.75" customHeight="1" x14ac:dyDescent="0.2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2.75" customHeight="1" x14ac:dyDescent="0.2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2.75" customHeight="1" x14ac:dyDescent="0.2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2.75" customHeight="1" x14ac:dyDescent="0.2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2.75" customHeight="1" x14ac:dyDescent="0.2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2.75" customHeight="1" x14ac:dyDescent="0.2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2.75" customHeight="1" x14ac:dyDescent="0.2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2.75" customHeight="1" x14ac:dyDescent="0.2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2.75" customHeight="1" x14ac:dyDescent="0.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2.75" customHeight="1" x14ac:dyDescent="0.2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2.75" customHeight="1" x14ac:dyDescent="0.2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2.75" customHeight="1" x14ac:dyDescent="0.2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2.75" customHeight="1" x14ac:dyDescent="0.2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2.75" customHeight="1" x14ac:dyDescent="0.2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2.75" customHeight="1" x14ac:dyDescent="0.2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2.75" customHeight="1" x14ac:dyDescent="0.2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2.75" customHeight="1" x14ac:dyDescent="0.2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2.75" customHeight="1" x14ac:dyDescent="0.2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2.75" customHeight="1" x14ac:dyDescent="0.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2.75" customHeight="1" x14ac:dyDescent="0.2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2.75" customHeight="1" x14ac:dyDescent="0.2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2.75" customHeight="1" x14ac:dyDescent="0.2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2.75" customHeight="1" x14ac:dyDescent="0.2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2.75" customHeight="1" x14ac:dyDescent="0.2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2.75" customHeight="1" x14ac:dyDescent="0.2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2.75" customHeight="1" x14ac:dyDescent="0.2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2.75" customHeight="1" x14ac:dyDescent="0.2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2.75" customHeight="1" x14ac:dyDescent="0.2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2.75" customHeight="1" x14ac:dyDescent="0.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2.75" customHeight="1" x14ac:dyDescent="0.2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2.75" customHeight="1" x14ac:dyDescent="0.2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2.75" customHeight="1" x14ac:dyDescent="0.2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2.75" customHeight="1" x14ac:dyDescent="0.2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2.75" customHeight="1" x14ac:dyDescent="0.2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2.75" customHeight="1" x14ac:dyDescent="0.2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2.75" customHeight="1" x14ac:dyDescent="0.2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2.75" customHeight="1" x14ac:dyDescent="0.2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2.75" customHeight="1" x14ac:dyDescent="0.2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2.75" customHeight="1" x14ac:dyDescent="0.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2.75" customHeight="1" x14ac:dyDescent="0.2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2.75" customHeight="1" x14ac:dyDescent="0.2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2.75" customHeight="1" x14ac:dyDescent="0.2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2.75" customHeight="1" x14ac:dyDescent="0.2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2.75" customHeight="1" x14ac:dyDescent="0.2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2.75" customHeight="1" x14ac:dyDescent="0.2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2.75" customHeight="1" x14ac:dyDescent="0.2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2.75" customHeight="1" x14ac:dyDescent="0.2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2.75" customHeight="1" x14ac:dyDescent="0.2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2.75" customHeight="1" x14ac:dyDescent="0.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2.75" customHeight="1" x14ac:dyDescent="0.2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2.75" customHeight="1" x14ac:dyDescent="0.2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2.75" customHeight="1" x14ac:dyDescent="0.2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2.75" customHeight="1" x14ac:dyDescent="0.2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2.75" customHeight="1" x14ac:dyDescent="0.2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2.75" customHeight="1" x14ac:dyDescent="0.2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2.75" customHeight="1" x14ac:dyDescent="0.2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2.75" customHeight="1" x14ac:dyDescent="0.2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2.75" customHeight="1" x14ac:dyDescent="0.2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2.75" customHeight="1" x14ac:dyDescent="0.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2.75" customHeight="1" x14ac:dyDescent="0.2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2.75" customHeight="1" x14ac:dyDescent="0.2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2.75" customHeight="1" x14ac:dyDescent="0.2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2.75" customHeight="1" x14ac:dyDescent="0.2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2.75" customHeight="1" x14ac:dyDescent="0.2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2.75" customHeight="1" x14ac:dyDescent="0.2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2.75" customHeight="1" x14ac:dyDescent="0.2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2.75" customHeight="1" x14ac:dyDescent="0.2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2.75" customHeight="1" x14ac:dyDescent="0.2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2.75" customHeight="1" x14ac:dyDescent="0.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2.75" customHeight="1" x14ac:dyDescent="0.2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2.75" customHeight="1" x14ac:dyDescent="0.2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2.75" customHeight="1" x14ac:dyDescent="0.2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2.75" customHeight="1" x14ac:dyDescent="0.2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2.75" customHeight="1" x14ac:dyDescent="0.2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2.75" customHeight="1" x14ac:dyDescent="0.2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2.75" customHeight="1" x14ac:dyDescent="0.2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2.75" customHeight="1" x14ac:dyDescent="0.2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2.75" customHeight="1" x14ac:dyDescent="0.2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2.75" customHeight="1" x14ac:dyDescent="0.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2.75" customHeight="1" x14ac:dyDescent="0.2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2.75" customHeight="1" x14ac:dyDescent="0.2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2.75" customHeight="1" x14ac:dyDescent="0.2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2.75" customHeight="1" x14ac:dyDescent="0.2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2.75" customHeight="1" x14ac:dyDescent="0.2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2.75" customHeight="1" x14ac:dyDescent="0.2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2.75" customHeight="1" x14ac:dyDescent="0.2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2.75" customHeight="1" x14ac:dyDescent="0.2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2.75" customHeight="1" x14ac:dyDescent="0.2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2.75" customHeight="1" x14ac:dyDescent="0.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2.75" customHeight="1" x14ac:dyDescent="0.2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2.75" customHeight="1" x14ac:dyDescent="0.2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2.75" customHeight="1" x14ac:dyDescent="0.2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2.75" customHeight="1" x14ac:dyDescent="0.2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2.75" customHeight="1" x14ac:dyDescent="0.2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2.75" customHeight="1" x14ac:dyDescent="0.2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2.75" customHeight="1" x14ac:dyDescent="0.2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2.75" customHeight="1" x14ac:dyDescent="0.2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2.75" customHeight="1" x14ac:dyDescent="0.2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2.75" customHeight="1" x14ac:dyDescent="0.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2.75" customHeight="1" x14ac:dyDescent="0.2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2.75" customHeight="1" x14ac:dyDescent="0.2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2.75" customHeight="1" x14ac:dyDescent="0.2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2.75" customHeight="1" x14ac:dyDescent="0.2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2.75" customHeight="1" x14ac:dyDescent="0.2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2.75" customHeight="1" x14ac:dyDescent="0.2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2.75" customHeight="1" x14ac:dyDescent="0.2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2.75" customHeight="1" x14ac:dyDescent="0.2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2.75" customHeight="1" x14ac:dyDescent="0.2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2.75" customHeight="1" x14ac:dyDescent="0.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2.75" customHeight="1" x14ac:dyDescent="0.2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2.75" customHeight="1" x14ac:dyDescent="0.2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2.75" customHeight="1" x14ac:dyDescent="0.2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2.75" customHeight="1" x14ac:dyDescent="0.2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2.75" customHeight="1" x14ac:dyDescent="0.2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2.75" customHeight="1" x14ac:dyDescent="0.2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2.75" customHeight="1" x14ac:dyDescent="0.2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2.75" customHeight="1" x14ac:dyDescent="0.2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2.75" customHeight="1" x14ac:dyDescent="0.2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2.75" customHeight="1" x14ac:dyDescent="0.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2.75" customHeight="1" x14ac:dyDescent="0.2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2.75" customHeight="1" x14ac:dyDescent="0.2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2.75" customHeight="1" x14ac:dyDescent="0.2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2.75" customHeight="1" x14ac:dyDescent="0.2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2.75" customHeight="1" x14ac:dyDescent="0.2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2.75" customHeight="1" x14ac:dyDescent="0.2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2.75" customHeight="1" x14ac:dyDescent="0.2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2.75" customHeight="1" x14ac:dyDescent="0.2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2.75" customHeight="1" x14ac:dyDescent="0.2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2.75" customHeight="1" x14ac:dyDescent="0.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2.75" customHeight="1" x14ac:dyDescent="0.2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2.75" customHeight="1" x14ac:dyDescent="0.2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2.75" customHeight="1" x14ac:dyDescent="0.2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2.75" customHeight="1" x14ac:dyDescent="0.2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2.75" customHeight="1" x14ac:dyDescent="0.2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2.75" customHeight="1" x14ac:dyDescent="0.2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2.75" customHeight="1" x14ac:dyDescent="0.2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2.75" customHeight="1" x14ac:dyDescent="0.2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2.75" customHeight="1" x14ac:dyDescent="0.2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2.75" customHeight="1" x14ac:dyDescent="0.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2.75" customHeight="1" x14ac:dyDescent="0.2"/>
    <row r="394" spans="1:26" ht="12.75" customHeight="1" x14ac:dyDescent="0.2"/>
    <row r="395" spans="1:26" ht="12.75" customHeight="1" x14ac:dyDescent="0.2"/>
    <row r="396" spans="1:26" ht="12.75" customHeight="1" x14ac:dyDescent="0.2"/>
    <row r="397" spans="1:26" ht="12.75" customHeight="1" x14ac:dyDescent="0.2"/>
    <row r="398" spans="1:26" ht="12.75" customHeight="1" x14ac:dyDescent="0.2"/>
    <row r="399" spans="1:26" ht="12.75" customHeight="1" x14ac:dyDescent="0.2"/>
    <row r="400" spans="1:26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5">
    <mergeCell ref="A200:B200"/>
    <mergeCell ref="A208:B208"/>
    <mergeCell ref="A216:B216"/>
    <mergeCell ref="A136:B136"/>
    <mergeCell ref="A144:B144"/>
    <mergeCell ref="A152:B152"/>
    <mergeCell ref="A160:B160"/>
    <mergeCell ref="A168:B168"/>
    <mergeCell ref="A176:B176"/>
    <mergeCell ref="A184:B184"/>
    <mergeCell ref="A92:B92"/>
    <mergeCell ref="A103:B103"/>
    <mergeCell ref="A114:B114"/>
    <mergeCell ref="A125:B125"/>
    <mergeCell ref="A192:B192"/>
    <mergeCell ref="A37:B37"/>
    <mergeCell ref="A48:B48"/>
    <mergeCell ref="A59:B59"/>
    <mergeCell ref="A70:B70"/>
    <mergeCell ref="A81:B81"/>
    <mergeCell ref="A3:B3"/>
    <mergeCell ref="C3:J3"/>
    <mergeCell ref="A4:B4"/>
    <mergeCell ref="A15:B15"/>
    <mergeCell ref="A26:B2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13"/>
  <sheetViews>
    <sheetView topLeftCell="A283" workbookViewId="0">
      <selection activeCell="B125" sqref="B125"/>
    </sheetView>
  </sheetViews>
  <sheetFormatPr baseColWidth="10" defaultColWidth="12.5703125" defaultRowHeight="15" customHeight="1" x14ac:dyDescent="0.2"/>
  <cols>
    <col min="1" max="1" width="25.5703125" customWidth="1"/>
    <col min="2" max="2" width="33.42578125" customWidth="1"/>
    <col min="3" max="3" width="21.5703125" customWidth="1"/>
    <col min="4" max="4" width="25.5703125" customWidth="1"/>
    <col min="5" max="5" width="21.42578125" customWidth="1"/>
    <col min="6" max="6" width="20.5703125" customWidth="1"/>
    <col min="7" max="7" width="25.5703125" customWidth="1"/>
    <col min="8" max="8" width="20.5703125" customWidth="1"/>
    <col min="9" max="9" width="24.5703125" customWidth="1"/>
    <col min="10" max="10" width="25.5703125" customWidth="1"/>
    <col min="11" max="11" width="20.5703125" customWidth="1"/>
    <col min="12" max="12" width="17.42578125" customWidth="1"/>
    <col min="13" max="13" width="25.5703125" customWidth="1"/>
    <col min="14" max="14" width="20.5703125" customWidth="1"/>
    <col min="15" max="15" width="17.42578125" customWidth="1"/>
    <col min="16" max="16" width="25.5703125" customWidth="1"/>
    <col min="17" max="17" width="20.5703125" customWidth="1"/>
    <col min="18" max="18" width="17.42578125" customWidth="1"/>
    <col min="19" max="19" width="25.5703125" customWidth="1"/>
    <col min="20" max="20" width="20.5703125" customWidth="1"/>
    <col min="21" max="21" width="17.42578125" customWidth="1"/>
    <col min="22" max="22" width="25.5703125" customWidth="1"/>
    <col min="23" max="23" width="20.5703125" customWidth="1"/>
    <col min="24" max="24" width="17.42578125" customWidth="1"/>
    <col min="25" max="25" width="25.5703125" customWidth="1"/>
    <col min="26" max="26" width="20.5703125" customWidth="1"/>
    <col min="27" max="27" width="17.42578125" customWidth="1"/>
    <col min="28" max="28" width="25.5703125" customWidth="1"/>
    <col min="29" max="29" width="20.5703125" customWidth="1"/>
    <col min="30" max="30" width="17.42578125" customWidth="1"/>
    <col min="31" max="31" width="22.42578125" customWidth="1"/>
    <col min="32" max="32" width="18.140625" customWidth="1"/>
    <col min="33" max="61" width="17.42578125" customWidth="1"/>
  </cols>
  <sheetData>
    <row r="1" spans="1:16" ht="18.75" customHeight="1" x14ac:dyDescent="0.2">
      <c r="A1" s="148" t="s">
        <v>262</v>
      </c>
      <c r="B1" s="149" t="s">
        <v>263</v>
      </c>
      <c r="C1" s="150" t="s">
        <v>264</v>
      </c>
      <c r="D1" s="149" t="s">
        <v>265</v>
      </c>
      <c r="E1" s="150" t="s">
        <v>266</v>
      </c>
      <c r="F1" s="149" t="s">
        <v>267</v>
      </c>
      <c r="G1" s="150" t="s">
        <v>268</v>
      </c>
      <c r="H1" s="149" t="s">
        <v>269</v>
      </c>
      <c r="I1" s="150" t="s">
        <v>270</v>
      </c>
      <c r="J1" s="149" t="s">
        <v>271</v>
      </c>
      <c r="K1" s="150" t="s">
        <v>272</v>
      </c>
      <c r="L1" s="149" t="s">
        <v>3</v>
      </c>
      <c r="M1" s="151" t="s">
        <v>213</v>
      </c>
      <c r="N1" s="34"/>
      <c r="O1" s="34"/>
    </row>
    <row r="2" spans="1:16" ht="15.75" customHeight="1" x14ac:dyDescent="0.2">
      <c r="A2" s="108" t="s">
        <v>273</v>
      </c>
      <c r="B2" s="152">
        <f>INT(2+LVL/2)</f>
        <v>2</v>
      </c>
      <c r="C2" s="153">
        <f>INT(0+LVL/3)</f>
        <v>0</v>
      </c>
      <c r="D2" s="152">
        <f>INT(2+LVL/2)</f>
        <v>2</v>
      </c>
      <c r="E2" s="119">
        <f>INT(2+LVL/2)</f>
        <v>2</v>
      </c>
      <c r="F2" s="152">
        <f>INT(2+LVL/2)</f>
        <v>2</v>
      </c>
      <c r="G2" s="119">
        <f>INT(2+LVL/2)</f>
        <v>2</v>
      </c>
      <c r="H2" s="154">
        <f>INT(0+LVL/3)</f>
        <v>0</v>
      </c>
      <c r="I2" s="153">
        <f>INT(0+LVL/3)</f>
        <v>0</v>
      </c>
      <c r="J2" s="152">
        <f>INT(2+LVL/2)</f>
        <v>2</v>
      </c>
      <c r="K2" s="119">
        <f>INT(2+LVL/2)</f>
        <v>2</v>
      </c>
      <c r="L2" s="154">
        <f>INT(0+LVL/3)</f>
        <v>0</v>
      </c>
    </row>
    <row r="3" spans="1:16" ht="15.75" customHeight="1" x14ac:dyDescent="0.2">
      <c r="A3" s="108" t="s">
        <v>274</v>
      </c>
      <c r="B3" s="154">
        <f>INT(0+LVL/3)</f>
        <v>0</v>
      </c>
      <c r="C3" s="119">
        <f>INT(2+LVL/2)</f>
        <v>2</v>
      </c>
      <c r="D3" s="154">
        <f>INT(0+LVL/3)</f>
        <v>0</v>
      </c>
      <c r="E3" s="153">
        <f>INT(0+LVL/3)</f>
        <v>0</v>
      </c>
      <c r="F3" s="152">
        <f>INT(2+LVL/2)</f>
        <v>2</v>
      </c>
      <c r="G3" s="153">
        <f>INT(0+LVL/3)</f>
        <v>0</v>
      </c>
      <c r="H3" s="154">
        <f>INT(0+LVL/3)</f>
        <v>0</v>
      </c>
      <c r="I3" s="153">
        <f>INT(0+LVL/3)</f>
        <v>0</v>
      </c>
      <c r="J3" s="152">
        <f>INT(2+LVL/2)</f>
        <v>2</v>
      </c>
      <c r="K3" s="153">
        <f>INT(0+LVL/3)</f>
        <v>0</v>
      </c>
      <c r="L3" s="152">
        <f>INT(2+LVL/2)</f>
        <v>2</v>
      </c>
    </row>
    <row r="4" spans="1:16" ht="15.75" customHeight="1" x14ac:dyDescent="0.2">
      <c r="A4" s="108" t="s">
        <v>275</v>
      </c>
      <c r="B4" s="154">
        <f>INT(0+LVL/3)</f>
        <v>0</v>
      </c>
      <c r="C4" s="119">
        <f>INT(2+LVL/2)</f>
        <v>2</v>
      </c>
      <c r="D4" s="152">
        <f>INT(2+LVL/2)</f>
        <v>2</v>
      </c>
      <c r="E4" s="119">
        <f>INT(2+LVL/2)</f>
        <v>2</v>
      </c>
      <c r="F4" s="154">
        <f>INT(0+LVL/3)</f>
        <v>0</v>
      </c>
      <c r="G4" s="153">
        <f>INT(0+LVL/3)</f>
        <v>0</v>
      </c>
      <c r="H4" s="152">
        <f>INT(2+LVL/2)</f>
        <v>2</v>
      </c>
      <c r="I4" s="119">
        <f>INT(2+LVL/2)</f>
        <v>2</v>
      </c>
      <c r="J4" s="152">
        <f>INT(2+LVL/2)</f>
        <v>2</v>
      </c>
      <c r="K4" s="153">
        <f>INT(0+LVL/3)</f>
        <v>0</v>
      </c>
      <c r="L4" s="154">
        <f>INT(0+LVL/3)</f>
        <v>0</v>
      </c>
    </row>
    <row r="5" spans="1:16" ht="15.75" customHeight="1" x14ac:dyDescent="0.2">
      <c r="A5" s="155" t="s">
        <v>276</v>
      </c>
      <c r="B5" s="156">
        <v>4</v>
      </c>
      <c r="C5" s="157">
        <v>6</v>
      </c>
      <c r="D5" s="156">
        <v>2</v>
      </c>
      <c r="E5" s="157">
        <v>4</v>
      </c>
      <c r="F5" s="156">
        <v>6</v>
      </c>
      <c r="G5" s="157">
        <v>2</v>
      </c>
      <c r="H5" s="156">
        <v>2</v>
      </c>
      <c r="I5" s="157">
        <v>2</v>
      </c>
      <c r="J5" s="156">
        <v>4</v>
      </c>
      <c r="K5" s="157">
        <v>2</v>
      </c>
      <c r="L5" s="156">
        <v>8</v>
      </c>
    </row>
    <row r="6" spans="1:16" ht="15.75" customHeight="1" x14ac:dyDescent="0.2">
      <c r="A6" s="158" t="s">
        <v>277</v>
      </c>
      <c r="B6" s="159">
        <v>12</v>
      </c>
      <c r="C6" s="160">
        <v>6</v>
      </c>
      <c r="D6" s="159">
        <v>8</v>
      </c>
      <c r="E6" s="160">
        <v>8</v>
      </c>
      <c r="F6" s="159">
        <v>8</v>
      </c>
      <c r="G6" s="160">
        <v>10</v>
      </c>
      <c r="H6" s="159">
        <v>4</v>
      </c>
      <c r="I6" s="160">
        <v>4</v>
      </c>
      <c r="J6" s="159">
        <v>8</v>
      </c>
      <c r="K6" s="160">
        <v>10</v>
      </c>
      <c r="L6" s="159">
        <v>6</v>
      </c>
    </row>
    <row r="7" spans="1:16" ht="15.75" customHeight="1" x14ac:dyDescent="0.2">
      <c r="A7" s="108" t="s">
        <v>278</v>
      </c>
      <c r="B7" s="152">
        <f>INT(LVL*1)</f>
        <v>0</v>
      </c>
      <c r="C7" s="119">
        <f>INT(LVL*0.75)</f>
        <v>0</v>
      </c>
      <c r="D7" s="152">
        <f>INT(LVL*0.75)</f>
        <v>0</v>
      </c>
      <c r="E7" s="119">
        <f>INT(LVL*0.75)</f>
        <v>0</v>
      </c>
      <c r="F7" s="152">
        <f>INT(LVL*1)</f>
        <v>0</v>
      </c>
      <c r="G7" s="160">
        <f>INT(LVL*1)</f>
        <v>0</v>
      </c>
      <c r="H7" s="159">
        <f>INT(LVL*0.5)</f>
        <v>0</v>
      </c>
      <c r="I7" s="160">
        <f>INT(LVL*0.5)</f>
        <v>0</v>
      </c>
      <c r="J7" s="152">
        <f>INT(LVL*0.75)</f>
        <v>0</v>
      </c>
      <c r="K7" s="160">
        <f>INT(LVL*1)</f>
        <v>0</v>
      </c>
      <c r="L7" s="152">
        <f>INT(LVL*0.75)</f>
        <v>0</v>
      </c>
      <c r="M7" s="76"/>
      <c r="N7" s="76"/>
      <c r="O7" s="76"/>
      <c r="P7" s="76"/>
    </row>
    <row r="8" spans="1:16" ht="15.75" customHeight="1" x14ac:dyDescent="0.2">
      <c r="B8" s="10" t="s">
        <v>279</v>
      </c>
      <c r="C8" s="34" t="s">
        <v>280</v>
      </c>
      <c r="D8" s="34" t="s">
        <v>280</v>
      </c>
      <c r="E8" s="34" t="s">
        <v>280</v>
      </c>
      <c r="F8" s="10" t="s">
        <v>279</v>
      </c>
      <c r="G8" s="10" t="s">
        <v>279</v>
      </c>
      <c r="H8" s="10" t="s">
        <v>281</v>
      </c>
      <c r="I8" s="10" t="s">
        <v>281</v>
      </c>
      <c r="J8" s="34" t="s">
        <v>280</v>
      </c>
      <c r="K8" s="10" t="s">
        <v>279</v>
      </c>
      <c r="L8" s="34" t="s">
        <v>280</v>
      </c>
      <c r="N8" s="76"/>
      <c r="O8" s="76"/>
      <c r="P8" s="76"/>
    </row>
    <row r="9" spans="1:16" ht="12.75" customHeight="1" x14ac:dyDescent="0.2"/>
    <row r="10" spans="1:16" ht="15.75" customHeight="1" x14ac:dyDescent="0.2">
      <c r="A10" s="161" t="s">
        <v>262</v>
      </c>
      <c r="B10" s="162" t="s">
        <v>273</v>
      </c>
      <c r="C10" s="162" t="s">
        <v>274</v>
      </c>
      <c r="D10" s="162" t="s">
        <v>275</v>
      </c>
      <c r="E10" s="163" t="s">
        <v>282</v>
      </c>
      <c r="F10" s="164" t="s">
        <v>277</v>
      </c>
      <c r="G10" s="165" t="s">
        <v>278</v>
      </c>
    </row>
    <row r="11" spans="1:16" ht="15.75" customHeight="1" x14ac:dyDescent="0.2">
      <c r="A11" s="166" t="s">
        <v>263</v>
      </c>
      <c r="B11" s="123">
        <f>INT(2+LVL/2)</f>
        <v>2</v>
      </c>
      <c r="C11" s="167">
        <f>INT(0+LVL/3)</f>
        <v>0</v>
      </c>
      <c r="D11" s="167">
        <f>INT(0+LVL/3)</f>
        <v>0</v>
      </c>
      <c r="E11" s="168">
        <v>4</v>
      </c>
      <c r="F11" s="169">
        <v>12</v>
      </c>
      <c r="G11" s="170">
        <f>INT(LVL*1)</f>
        <v>0</v>
      </c>
    </row>
    <row r="12" spans="1:16" ht="15.75" customHeight="1" x14ac:dyDescent="0.2">
      <c r="A12" s="171" t="s">
        <v>264</v>
      </c>
      <c r="B12" s="172">
        <f>INT(0+LVL/3)</f>
        <v>0</v>
      </c>
      <c r="C12" s="114">
        <f>INT(2+LVL/2)</f>
        <v>2</v>
      </c>
      <c r="D12" s="114">
        <f>INT(2+LVL/2)</f>
        <v>2</v>
      </c>
      <c r="E12" s="173">
        <v>6</v>
      </c>
      <c r="F12" s="174">
        <v>6</v>
      </c>
      <c r="G12" s="88">
        <f>INT(LVL*0.75)</f>
        <v>0</v>
      </c>
    </row>
    <row r="13" spans="1:16" ht="15.75" customHeight="1" x14ac:dyDescent="0.2">
      <c r="A13" s="166" t="s">
        <v>265</v>
      </c>
      <c r="B13" s="123">
        <f>INT(2+LVL/2)</f>
        <v>2</v>
      </c>
      <c r="C13" s="167">
        <f>INT(0+LVL/3)</f>
        <v>0</v>
      </c>
      <c r="D13" s="123">
        <f>INT(2+LVL/2)</f>
        <v>2</v>
      </c>
      <c r="E13" s="168">
        <v>2</v>
      </c>
      <c r="F13" s="169">
        <v>8</v>
      </c>
      <c r="G13" s="170">
        <f>INT(LVL*0.75)</f>
        <v>0</v>
      </c>
    </row>
    <row r="14" spans="1:16" ht="15.75" customHeight="1" x14ac:dyDescent="0.2">
      <c r="A14" s="171" t="s">
        <v>266</v>
      </c>
      <c r="B14" s="114">
        <f>INT(2+LVL/2)</f>
        <v>2</v>
      </c>
      <c r="C14" s="172">
        <f>INT(0+LVL/3)</f>
        <v>0</v>
      </c>
      <c r="D14" s="114">
        <f>INT(2+LVL/2)</f>
        <v>2</v>
      </c>
      <c r="E14" s="173">
        <v>4</v>
      </c>
      <c r="F14" s="174">
        <v>8</v>
      </c>
      <c r="G14" s="88">
        <f>INT(LVL*0.75)</f>
        <v>0</v>
      </c>
    </row>
    <row r="15" spans="1:16" ht="15.75" customHeight="1" x14ac:dyDescent="0.2">
      <c r="A15" s="166" t="s">
        <v>267</v>
      </c>
      <c r="B15" s="123">
        <f>INT(2+LVL/2)</f>
        <v>2</v>
      </c>
      <c r="C15" s="123">
        <f>INT(2+LVL/2)</f>
        <v>2</v>
      </c>
      <c r="D15" s="167">
        <f>INT(0+LVL/3)</f>
        <v>0</v>
      </c>
      <c r="E15" s="168">
        <v>6</v>
      </c>
      <c r="F15" s="169">
        <v>8</v>
      </c>
      <c r="G15" s="170">
        <f>INT(LVL*1)</f>
        <v>0</v>
      </c>
    </row>
    <row r="16" spans="1:16" ht="15.75" customHeight="1" x14ac:dyDescent="0.2">
      <c r="A16" s="171" t="s">
        <v>268</v>
      </c>
      <c r="B16" s="114">
        <f>INT(2+LVL/2)</f>
        <v>2</v>
      </c>
      <c r="C16" s="172">
        <f>INT(0+LVL/3)</f>
        <v>0</v>
      </c>
      <c r="D16" s="172">
        <f>INT(0+LVL/3)</f>
        <v>0</v>
      </c>
      <c r="E16" s="173">
        <v>2</v>
      </c>
      <c r="F16" s="174">
        <v>10</v>
      </c>
      <c r="G16" s="175">
        <f>INT(LVL*1)</f>
        <v>0</v>
      </c>
    </row>
    <row r="17" spans="1:61" ht="15.75" customHeight="1" x14ac:dyDescent="0.2">
      <c r="A17" s="166" t="s">
        <v>269</v>
      </c>
      <c r="B17" s="167">
        <f>INT(0+LVL/3)</f>
        <v>0</v>
      </c>
      <c r="C17" s="167">
        <f>INT(0+LVL/3)</f>
        <v>0</v>
      </c>
      <c r="D17" s="123">
        <f>INT(2+LVL/2)</f>
        <v>2</v>
      </c>
      <c r="E17" s="168">
        <v>2</v>
      </c>
      <c r="F17" s="169">
        <v>4</v>
      </c>
      <c r="G17" s="176">
        <f>INT(LVL*0.5)</f>
        <v>0</v>
      </c>
    </row>
    <row r="18" spans="1:61" ht="15.75" customHeight="1" x14ac:dyDescent="0.2">
      <c r="A18" s="171" t="s">
        <v>270</v>
      </c>
      <c r="B18" s="172">
        <f>INT(0+LVL/3)</f>
        <v>0</v>
      </c>
      <c r="C18" s="172">
        <f>INT(0+LVL/3)</f>
        <v>0</v>
      </c>
      <c r="D18" s="114">
        <f>INT(2+LVL/2)</f>
        <v>2</v>
      </c>
      <c r="E18" s="173">
        <v>2</v>
      </c>
      <c r="F18" s="174">
        <v>4</v>
      </c>
      <c r="G18" s="175">
        <f>INT(LVL*0.5)</f>
        <v>0</v>
      </c>
    </row>
    <row r="19" spans="1:61" ht="15.75" customHeight="1" x14ac:dyDescent="0.2">
      <c r="A19" s="166" t="s">
        <v>271</v>
      </c>
      <c r="B19" s="123">
        <f>INT(2+LVL/2)</f>
        <v>2</v>
      </c>
      <c r="C19" s="123">
        <f>INT(2+LVL/2)</f>
        <v>2</v>
      </c>
      <c r="D19" s="123">
        <f>INT(2+LVL/2)</f>
        <v>2</v>
      </c>
      <c r="E19" s="168">
        <v>4</v>
      </c>
      <c r="F19" s="169">
        <v>8</v>
      </c>
      <c r="G19" s="170">
        <f>INT(LVL*0.75)</f>
        <v>0</v>
      </c>
    </row>
    <row r="20" spans="1:61" ht="15.75" customHeight="1" x14ac:dyDescent="0.2">
      <c r="A20" s="171" t="s">
        <v>272</v>
      </c>
      <c r="B20" s="114">
        <f>INT(2+LVL/2)</f>
        <v>2</v>
      </c>
      <c r="C20" s="172">
        <f>INT(0+LVL/3)</f>
        <v>0</v>
      </c>
      <c r="D20" s="172">
        <f>INT(0+LVL/3)</f>
        <v>0</v>
      </c>
      <c r="E20" s="173">
        <v>2</v>
      </c>
      <c r="F20" s="174">
        <v>10</v>
      </c>
      <c r="G20" s="175">
        <f>INT(LVL*1)</f>
        <v>0</v>
      </c>
    </row>
    <row r="21" spans="1:61" ht="15.75" customHeight="1" x14ac:dyDescent="0.2">
      <c r="A21" s="177" t="s">
        <v>3</v>
      </c>
      <c r="B21" s="178">
        <f>INT(0+LVL/3)</f>
        <v>0</v>
      </c>
      <c r="C21" s="179">
        <f>INT(2+LVL/2)</f>
        <v>2</v>
      </c>
      <c r="D21" s="178">
        <f>INT(0+LVL/3)</f>
        <v>0</v>
      </c>
      <c r="E21" s="180">
        <v>8</v>
      </c>
      <c r="F21" s="181">
        <v>6</v>
      </c>
      <c r="G21" s="182">
        <f>INT(LVL*0.75)</f>
        <v>0</v>
      </c>
    </row>
    <row r="22" spans="1:61" ht="15.75" customHeight="1" x14ac:dyDescent="0.2">
      <c r="A22" s="177" t="s">
        <v>213</v>
      </c>
      <c r="B22" s="34"/>
      <c r="C22" s="34"/>
      <c r="D22" s="34"/>
      <c r="E22" s="183"/>
      <c r="F22" s="184"/>
      <c r="G22" s="34"/>
    </row>
    <row r="23" spans="1:61" ht="15.75" customHeight="1" x14ac:dyDescent="0.2">
      <c r="A23" s="177" t="s">
        <v>283</v>
      </c>
      <c r="B23" s="178">
        <f>INT(0+LVL/3)</f>
        <v>0</v>
      </c>
      <c r="C23" s="178">
        <f>INT(0+LVL/3)</f>
        <v>0</v>
      </c>
      <c r="D23" s="123">
        <f>INT(2+LVL/2)</f>
        <v>2</v>
      </c>
      <c r="E23" s="173">
        <v>2</v>
      </c>
      <c r="F23" s="181">
        <v>6</v>
      </c>
      <c r="G23" s="169">
        <f>INT(LVL*0.5)</f>
        <v>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</row>
    <row r="24" spans="1:61" ht="15.75" customHeight="1" x14ac:dyDescent="0.2">
      <c r="A24" s="177" t="s">
        <v>284</v>
      </c>
      <c r="B24" s="172">
        <f>INT(0+LVL/3)</f>
        <v>0</v>
      </c>
      <c r="C24" s="172">
        <f>INT(0+LVL/3)</f>
        <v>0</v>
      </c>
      <c r="D24" s="114">
        <f>INT(2+LVL/2)</f>
        <v>2</v>
      </c>
      <c r="E24" s="173">
        <v>4</v>
      </c>
      <c r="F24" s="114">
        <v>8</v>
      </c>
      <c r="G24" s="114">
        <f>INT(LVL*0.75)</f>
        <v>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</row>
    <row r="25" spans="1:61" ht="15.75" customHeight="1" x14ac:dyDescent="0.2">
      <c r="A25" s="177" t="s">
        <v>285</v>
      </c>
      <c r="B25" s="123">
        <f>INT(2+LVL/2)</f>
        <v>2</v>
      </c>
      <c r="C25" s="167">
        <f>INT(0+LVL/3)</f>
        <v>0</v>
      </c>
      <c r="D25" s="167">
        <f>INT(0+LVL/3)</f>
        <v>0</v>
      </c>
      <c r="E25" s="168">
        <v>2</v>
      </c>
      <c r="F25" s="169">
        <v>10</v>
      </c>
      <c r="G25" s="123">
        <f>INT(LVL*1)</f>
        <v>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</row>
    <row r="26" spans="1:61" ht="15.75" customHeight="1" x14ac:dyDescent="0.2">
      <c r="A26" s="177" t="s">
        <v>286</v>
      </c>
      <c r="B26" s="172">
        <f>INT(0+LVL/3)</f>
        <v>0</v>
      </c>
      <c r="C26" s="172">
        <f>INT(0+LVL/3)</f>
        <v>0</v>
      </c>
      <c r="D26" s="114">
        <f>INT(2+LVL/2)</f>
        <v>2</v>
      </c>
      <c r="E26" s="173">
        <v>6</v>
      </c>
      <c r="F26" s="174">
        <v>6</v>
      </c>
      <c r="G26" s="114">
        <f>INT(LVL*0.75)</f>
        <v>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</row>
    <row r="27" spans="1:61" ht="15.75" customHeight="1" x14ac:dyDescent="0.2">
      <c r="A27" s="177" t="s">
        <v>287</v>
      </c>
      <c r="B27" s="167">
        <f>INT(0+LVL/3)</f>
        <v>0</v>
      </c>
      <c r="C27" s="167">
        <f>INT(0+LVL/3)</f>
        <v>0</v>
      </c>
      <c r="D27" s="167">
        <f>INT(0+LVL/3)</f>
        <v>0</v>
      </c>
      <c r="E27" s="168">
        <v>2</v>
      </c>
      <c r="F27" s="181">
        <v>4</v>
      </c>
      <c r="G27" s="169">
        <f>INT(LVL*0.5)</f>
        <v>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</row>
    <row r="28" spans="1:61" ht="15.75" customHeight="1" x14ac:dyDescent="0.2">
      <c r="M28" s="185" t="s">
        <v>288</v>
      </c>
    </row>
    <row r="29" spans="1:61" ht="15.75" customHeight="1" x14ac:dyDescent="0.2">
      <c r="A29" s="148" t="s">
        <v>262</v>
      </c>
      <c r="B29" s="186" t="s">
        <v>289</v>
      </c>
      <c r="C29" s="149" t="s">
        <v>290</v>
      </c>
      <c r="D29" s="186" t="s">
        <v>291</v>
      </c>
      <c r="E29" s="149" t="s">
        <v>292</v>
      </c>
      <c r="F29" s="186" t="s">
        <v>293</v>
      </c>
      <c r="G29" s="149" t="s">
        <v>294</v>
      </c>
      <c r="H29" s="186" t="s">
        <v>295</v>
      </c>
      <c r="I29" s="187" t="s">
        <v>296</v>
      </c>
      <c r="J29" s="188" t="s">
        <v>297</v>
      </c>
      <c r="K29" s="189" t="s">
        <v>298</v>
      </c>
      <c r="L29" s="186" t="s">
        <v>299</v>
      </c>
      <c r="M29" s="189" t="s">
        <v>4</v>
      </c>
      <c r="N29" s="188" t="s">
        <v>300</v>
      </c>
      <c r="O29" s="189" t="s">
        <v>301</v>
      </c>
      <c r="P29" s="186" t="s">
        <v>302</v>
      </c>
      <c r="Q29" s="189" t="s">
        <v>303</v>
      </c>
      <c r="R29" s="151" t="s">
        <v>213</v>
      </c>
    </row>
    <row r="30" spans="1:61" ht="15.75" customHeight="1" x14ac:dyDescent="0.2">
      <c r="A30" s="108" t="s">
        <v>273</v>
      </c>
      <c r="B30" s="190">
        <f>INT(0+HDLVL/3)</f>
        <v>0</v>
      </c>
      <c r="C30" s="152">
        <f t="shared" ref="C30:E31" si="0">INT(2+HDLVL/2)</f>
        <v>2</v>
      </c>
      <c r="D30" s="160">
        <f t="shared" si="0"/>
        <v>2</v>
      </c>
      <c r="E30" s="152">
        <f t="shared" si="0"/>
        <v>2</v>
      </c>
      <c r="F30" s="190">
        <f t="shared" ref="F30:G32" si="1">INT(0+HDLVL/3)</f>
        <v>0</v>
      </c>
      <c r="G30" s="154">
        <f t="shared" si="1"/>
        <v>0</v>
      </c>
      <c r="H30" s="160">
        <f>INT(2+HDLVL/2)</f>
        <v>2</v>
      </c>
      <c r="I30" s="154">
        <f>INT(0+HDLVL/3)</f>
        <v>0</v>
      </c>
      <c r="J30" s="160">
        <f>INT(2+HDLVL/2)</f>
        <v>2</v>
      </c>
      <c r="K30" s="154">
        <f>INT(0+HDLVL/3)</f>
        <v>0</v>
      </c>
      <c r="L30" s="160">
        <f>INT(2+HDLVL/2)</f>
        <v>2</v>
      </c>
      <c r="M30" s="154">
        <f>INT(0+HDLVL/3)</f>
        <v>0</v>
      </c>
      <c r="N30" s="190">
        <f>INT(0+HDLVL/3)</f>
        <v>0</v>
      </c>
      <c r="O30" s="154">
        <f>INT(0+HDLVL/3)</f>
        <v>0</v>
      </c>
      <c r="P30" s="160">
        <f>INT(2+HDLVL/2)</f>
        <v>2</v>
      </c>
      <c r="Q30" s="152">
        <f>INT(2+HDLVL/2)</f>
        <v>2</v>
      </c>
    </row>
    <row r="31" spans="1:61" ht="15.75" customHeight="1" x14ac:dyDescent="0.2">
      <c r="A31" s="108" t="s">
        <v>274</v>
      </c>
      <c r="B31" s="190">
        <f>INT(0+HDLVL/3)</f>
        <v>0</v>
      </c>
      <c r="C31" s="152">
        <f t="shared" si="0"/>
        <v>2</v>
      </c>
      <c r="D31" s="160">
        <f t="shared" si="0"/>
        <v>2</v>
      </c>
      <c r="E31" s="152">
        <f t="shared" si="0"/>
        <v>2</v>
      </c>
      <c r="F31" s="190">
        <f t="shared" si="1"/>
        <v>0</v>
      </c>
      <c r="G31" s="154">
        <f t="shared" si="1"/>
        <v>0</v>
      </c>
      <c r="H31" s="160">
        <f>INT(2+HDLVL/2)</f>
        <v>2</v>
      </c>
      <c r="I31" s="152">
        <f>INT(2+HDLVL/2)</f>
        <v>2</v>
      </c>
      <c r="J31" s="190">
        <f>INT(0+HDLVL/3)</f>
        <v>0</v>
      </c>
      <c r="K31" s="152">
        <f>INT(2+HDLVL/2)</f>
        <v>2</v>
      </c>
      <c r="L31" s="190">
        <f>INT(0+HDLVL/3)</f>
        <v>0</v>
      </c>
      <c r="M31" s="154">
        <f>INT(0+HDLVL/3)</f>
        <v>0</v>
      </c>
      <c r="N31" s="160">
        <f>INT(2+HDLVL/2)</f>
        <v>2</v>
      </c>
      <c r="O31" s="154">
        <f>INT(0+HDLVL/3)</f>
        <v>0</v>
      </c>
      <c r="P31" s="190">
        <f>INT(0+HDLVL/3)</f>
        <v>0</v>
      </c>
      <c r="Q31" s="154">
        <f>INT(0+HDLVL/3)</f>
        <v>0</v>
      </c>
    </row>
    <row r="32" spans="1:61" ht="15.75" customHeight="1" x14ac:dyDescent="0.2">
      <c r="A32" s="108" t="s">
        <v>275</v>
      </c>
      <c r="B32" s="160">
        <f>INT(2+HDLVL/2)</f>
        <v>2</v>
      </c>
      <c r="C32" s="152">
        <f>INT(2+HDLVL/2)</f>
        <v>2</v>
      </c>
      <c r="D32" s="190">
        <f>INT(0+HDLVL/3)</f>
        <v>0</v>
      </c>
      <c r="E32" s="154">
        <f>INT(0+HDLVL/3)</f>
        <v>0</v>
      </c>
      <c r="F32" s="190">
        <f t="shared" si="1"/>
        <v>0</v>
      </c>
      <c r="G32" s="154">
        <f t="shared" si="1"/>
        <v>0</v>
      </c>
      <c r="H32" s="160">
        <f>INT(2+HDLVL/2)</f>
        <v>2</v>
      </c>
      <c r="I32" s="154">
        <f>INT(0+HDLVL/3)</f>
        <v>0</v>
      </c>
      <c r="J32" s="190">
        <f>INT(0+HDLVL/3)</f>
        <v>0</v>
      </c>
      <c r="K32" s="152">
        <f>INT(2+HDLVL/2)</f>
        <v>2</v>
      </c>
      <c r="L32" s="190">
        <f>INT(0+HDLVL/3)</f>
        <v>0</v>
      </c>
      <c r="M32" s="154">
        <f>INT(0+HDLVL/3)</f>
        <v>0</v>
      </c>
      <c r="N32" s="160">
        <f>INT(2+HDLVL/2)</f>
        <v>2</v>
      </c>
      <c r="O32" s="152">
        <f>INT(2+HDLVL/2)</f>
        <v>2</v>
      </c>
      <c r="P32" s="190">
        <f>INT(0+HDLVL/3)</f>
        <v>0</v>
      </c>
      <c r="Q32" s="154">
        <f>INT(0+HDLVL/3)</f>
        <v>0</v>
      </c>
    </row>
    <row r="33" spans="1:17" ht="15.75" customHeight="1" x14ac:dyDescent="0.2">
      <c r="A33" s="155" t="s">
        <v>276</v>
      </c>
      <c r="B33" s="191">
        <v>2</v>
      </c>
      <c r="C33" s="156">
        <v>8</v>
      </c>
      <c r="D33" s="191">
        <v>2</v>
      </c>
      <c r="E33" s="156">
        <v>2</v>
      </c>
      <c r="F33" s="191">
        <v>2</v>
      </c>
      <c r="G33" s="156">
        <v>2</v>
      </c>
      <c r="H33" s="191">
        <v>6</v>
      </c>
      <c r="I33" s="156">
        <v>2</v>
      </c>
      <c r="J33" s="191">
        <v>2</v>
      </c>
      <c r="K33" s="192">
        <v>6</v>
      </c>
      <c r="L33" s="191">
        <v>2</v>
      </c>
      <c r="M33" s="192">
        <v>2</v>
      </c>
      <c r="N33" s="191">
        <v>2</v>
      </c>
      <c r="O33" s="192">
        <v>4</v>
      </c>
      <c r="P33" s="191">
        <v>2</v>
      </c>
      <c r="Q33" s="192">
        <v>2</v>
      </c>
    </row>
    <row r="34" spans="1:17" ht="15.75" customHeight="1" x14ac:dyDescent="0.2">
      <c r="A34" s="108" t="s">
        <v>304</v>
      </c>
      <c r="B34" s="119">
        <v>8</v>
      </c>
      <c r="C34" s="152">
        <v>8</v>
      </c>
      <c r="D34" s="119">
        <v>8</v>
      </c>
      <c r="E34" s="152">
        <v>10</v>
      </c>
      <c r="F34" s="119">
        <v>10</v>
      </c>
      <c r="G34" s="152">
        <v>10</v>
      </c>
      <c r="H34" s="119">
        <v>12</v>
      </c>
      <c r="I34" s="152">
        <v>8</v>
      </c>
      <c r="J34" s="160">
        <v>8</v>
      </c>
      <c r="K34" s="159">
        <v>6</v>
      </c>
      <c r="L34" s="160">
        <v>8</v>
      </c>
      <c r="M34" s="159">
        <v>8</v>
      </c>
      <c r="N34" s="160">
        <v>8</v>
      </c>
      <c r="O34" s="159">
        <v>12</v>
      </c>
      <c r="P34" s="160">
        <v>8</v>
      </c>
      <c r="Q34" s="159">
        <v>8</v>
      </c>
    </row>
    <row r="35" spans="1:17" ht="15.75" customHeight="1" x14ac:dyDescent="0.2">
      <c r="A35" s="108" t="s">
        <v>278</v>
      </c>
      <c r="B35" s="119">
        <f>INT(HDLVL*0.75)</f>
        <v>0</v>
      </c>
      <c r="C35" s="152">
        <f>INT(HDLVL*1)</f>
        <v>0</v>
      </c>
      <c r="D35" s="119">
        <f>INT(HDLVL*0.75)</f>
        <v>0</v>
      </c>
      <c r="E35" s="152">
        <f>INT(HDLVL*1)</f>
        <v>0</v>
      </c>
      <c r="F35" s="119">
        <f>INT(HDLVL*0.75)</f>
        <v>0</v>
      </c>
      <c r="G35" s="152">
        <f>INT(HDLVL*0.75)</f>
        <v>0</v>
      </c>
      <c r="H35" s="160">
        <f>INT(HDLVL*1)</f>
        <v>0</v>
      </c>
      <c r="I35" s="152">
        <f>INT(HDLVL*0.75)</f>
        <v>0</v>
      </c>
      <c r="J35" s="160">
        <f>INT(HDLVL*0.75)</f>
        <v>0</v>
      </c>
      <c r="K35" s="159">
        <f>INT(HDLVL*0.5)</f>
        <v>0</v>
      </c>
      <c r="L35" s="160">
        <f>INT(HDLVL*0.75)</f>
        <v>0</v>
      </c>
      <c r="M35" s="152">
        <f>INT(HDLVL*0.75)</f>
        <v>0</v>
      </c>
      <c r="N35" s="160">
        <f>INT(HDLVL*1)</f>
        <v>0</v>
      </c>
      <c r="O35" s="159">
        <f>INT(HDLVL*0.5)</f>
        <v>0</v>
      </c>
      <c r="P35" s="160">
        <f>INT(HDLVL*0.75)</f>
        <v>0</v>
      </c>
      <c r="Q35" s="152">
        <f>INT(HDLVL*0.75)</f>
        <v>0</v>
      </c>
    </row>
    <row r="36" spans="1:17" ht="15.75" customHeight="1" x14ac:dyDescent="0.2">
      <c r="B36" s="34" t="s">
        <v>280</v>
      </c>
      <c r="C36" s="10" t="s">
        <v>279</v>
      </c>
      <c r="D36" s="34" t="s">
        <v>280</v>
      </c>
      <c r="E36" s="10" t="s">
        <v>279</v>
      </c>
      <c r="F36" s="34" t="s">
        <v>280</v>
      </c>
      <c r="G36" s="34" t="s">
        <v>280</v>
      </c>
      <c r="H36" s="10" t="s">
        <v>279</v>
      </c>
      <c r="I36" s="34" t="s">
        <v>280</v>
      </c>
      <c r="J36" s="34" t="s">
        <v>280</v>
      </c>
      <c r="K36" s="10" t="s">
        <v>281</v>
      </c>
      <c r="L36" s="34" t="s">
        <v>280</v>
      </c>
      <c r="M36" s="34" t="s">
        <v>280</v>
      </c>
      <c r="N36" s="10" t="s">
        <v>279</v>
      </c>
      <c r="O36" s="10" t="s">
        <v>281</v>
      </c>
      <c r="P36" s="34" t="s">
        <v>280</v>
      </c>
      <c r="Q36" s="34" t="s">
        <v>280</v>
      </c>
    </row>
    <row r="37" spans="1:17" ht="12.75" customHeight="1" x14ac:dyDescent="0.2"/>
    <row r="38" spans="1:17" ht="15.75" customHeight="1" x14ac:dyDescent="0.2">
      <c r="A38" s="161" t="s">
        <v>262</v>
      </c>
      <c r="B38" s="162" t="s">
        <v>273</v>
      </c>
      <c r="C38" s="162" t="s">
        <v>274</v>
      </c>
      <c r="D38" s="162" t="s">
        <v>275</v>
      </c>
      <c r="E38" s="163" t="s">
        <v>282</v>
      </c>
      <c r="F38" s="162" t="s">
        <v>304</v>
      </c>
      <c r="G38" s="165" t="s">
        <v>278</v>
      </c>
    </row>
    <row r="39" spans="1:17" ht="15.75" customHeight="1" x14ac:dyDescent="0.2">
      <c r="A39" s="193" t="s">
        <v>289</v>
      </c>
      <c r="B39" s="190">
        <f>INT(0+HDLVL/3)</f>
        <v>0</v>
      </c>
      <c r="C39" s="190">
        <f>INT(0+HDLVL/3)</f>
        <v>0</v>
      </c>
      <c r="D39" s="160">
        <f>INT(2+HDLVL/2)</f>
        <v>2</v>
      </c>
      <c r="E39" s="191">
        <v>2</v>
      </c>
      <c r="F39" s="119">
        <v>8</v>
      </c>
      <c r="G39" s="109">
        <f>INT(HDLVL*0.75)</f>
        <v>0</v>
      </c>
    </row>
    <row r="40" spans="1:17" ht="15.75" customHeight="1" x14ac:dyDescent="0.2">
      <c r="A40" s="166" t="s">
        <v>290</v>
      </c>
      <c r="B40" s="152">
        <f t="shared" ref="B40:C42" si="2">INT(2+HDLVL/2)</f>
        <v>2</v>
      </c>
      <c r="C40" s="152">
        <f t="shared" si="2"/>
        <v>2</v>
      </c>
      <c r="D40" s="152">
        <f>INT(2+HDLVL/2)</f>
        <v>2</v>
      </c>
      <c r="E40" s="156">
        <v>8</v>
      </c>
      <c r="F40" s="152">
        <v>8</v>
      </c>
      <c r="G40" s="194">
        <f>INT(HDLVL*1)</f>
        <v>0</v>
      </c>
    </row>
    <row r="41" spans="1:17" ht="15.75" customHeight="1" x14ac:dyDescent="0.2">
      <c r="A41" s="193" t="s">
        <v>291</v>
      </c>
      <c r="B41" s="160">
        <f t="shared" si="2"/>
        <v>2</v>
      </c>
      <c r="C41" s="160">
        <f t="shared" si="2"/>
        <v>2</v>
      </c>
      <c r="D41" s="190">
        <f>INT(0+HDLVL/3)</f>
        <v>0</v>
      </c>
      <c r="E41" s="191">
        <v>2</v>
      </c>
      <c r="F41" s="119">
        <v>8</v>
      </c>
      <c r="G41" s="109">
        <f>INT(HDLVL*0.75)</f>
        <v>0</v>
      </c>
    </row>
    <row r="42" spans="1:17" ht="15.75" customHeight="1" x14ac:dyDescent="0.2">
      <c r="A42" s="166" t="s">
        <v>292</v>
      </c>
      <c r="B42" s="152">
        <f t="shared" si="2"/>
        <v>2</v>
      </c>
      <c r="C42" s="152">
        <f t="shared" si="2"/>
        <v>2</v>
      </c>
      <c r="D42" s="154">
        <f>INT(0+HDLVL/3)</f>
        <v>0</v>
      </c>
      <c r="E42" s="156">
        <v>2</v>
      </c>
      <c r="F42" s="152">
        <v>10</v>
      </c>
      <c r="G42" s="194">
        <f>INT(HDLVL*1)</f>
        <v>0</v>
      </c>
    </row>
    <row r="43" spans="1:17" ht="15.75" customHeight="1" x14ac:dyDescent="0.2">
      <c r="A43" s="193" t="s">
        <v>293</v>
      </c>
      <c r="B43" s="190">
        <f>INT(0+HDLVL/3)</f>
        <v>0</v>
      </c>
      <c r="C43" s="190">
        <f>INT(0+HDLVL/3)</f>
        <v>0</v>
      </c>
      <c r="D43" s="190">
        <f>INT(0+HDLVL/3)</f>
        <v>0</v>
      </c>
      <c r="E43" s="191">
        <v>2</v>
      </c>
      <c r="F43" s="119">
        <v>10</v>
      </c>
      <c r="G43" s="109">
        <f>INT(HDLVL*0.75)</f>
        <v>0</v>
      </c>
    </row>
    <row r="44" spans="1:17" ht="15.75" customHeight="1" x14ac:dyDescent="0.2">
      <c r="A44" s="166" t="s">
        <v>294</v>
      </c>
      <c r="B44" s="154">
        <f>INT(0+HDLVL/3)</f>
        <v>0</v>
      </c>
      <c r="C44" s="154">
        <f>INT(0+HDLVL/3)</f>
        <v>0</v>
      </c>
      <c r="D44" s="154">
        <f>INT(0+HDLVL/3)</f>
        <v>0</v>
      </c>
      <c r="E44" s="156">
        <v>2</v>
      </c>
      <c r="F44" s="152">
        <v>10</v>
      </c>
      <c r="G44" s="194">
        <f>INT(HDLVL*0.75)</f>
        <v>0</v>
      </c>
    </row>
    <row r="45" spans="1:17" ht="15.75" customHeight="1" x14ac:dyDescent="0.2">
      <c r="A45" s="193" t="s">
        <v>295</v>
      </c>
      <c r="B45" s="160">
        <f>INT(2+HDLVL/2)</f>
        <v>2</v>
      </c>
      <c r="C45" s="160">
        <f>INT(2+HDLVL/2)</f>
        <v>2</v>
      </c>
      <c r="D45" s="160">
        <f>INT(2+HDLVL/2)</f>
        <v>2</v>
      </c>
      <c r="E45" s="191">
        <v>6</v>
      </c>
      <c r="F45" s="119">
        <v>12</v>
      </c>
      <c r="G45" s="195">
        <f>INT(HDLVL*1)</f>
        <v>0</v>
      </c>
    </row>
    <row r="46" spans="1:17" ht="15.75" customHeight="1" x14ac:dyDescent="0.2">
      <c r="A46" s="196" t="s">
        <v>296</v>
      </c>
      <c r="B46" s="154">
        <f>INT(0+HDLVL/3)</f>
        <v>0</v>
      </c>
      <c r="C46" s="152">
        <f>INT(2+HDLVL/2)</f>
        <v>2</v>
      </c>
      <c r="D46" s="154">
        <f>INT(0+HDLVL/3)</f>
        <v>0</v>
      </c>
      <c r="E46" s="156">
        <v>2</v>
      </c>
      <c r="F46" s="152">
        <v>8</v>
      </c>
      <c r="G46" s="194">
        <f>INT(HDLVL*0.75)</f>
        <v>0</v>
      </c>
    </row>
    <row r="47" spans="1:17" ht="15.75" customHeight="1" x14ac:dyDescent="0.2">
      <c r="A47" s="197" t="s">
        <v>297</v>
      </c>
      <c r="B47" s="160">
        <f>INT(2+HDLVL/2)</f>
        <v>2</v>
      </c>
      <c r="C47" s="190">
        <f>INT(0+HDLVL/3)</f>
        <v>0</v>
      </c>
      <c r="D47" s="190">
        <f>INT(0+HDLVL/3)</f>
        <v>0</v>
      </c>
      <c r="E47" s="191">
        <v>2</v>
      </c>
      <c r="F47" s="160">
        <v>8</v>
      </c>
      <c r="G47" s="195">
        <f>INT(HDLVL*0.75)</f>
        <v>0</v>
      </c>
    </row>
    <row r="48" spans="1:17" ht="15.75" customHeight="1" x14ac:dyDescent="0.2">
      <c r="A48" s="198" t="s">
        <v>298</v>
      </c>
      <c r="B48" s="154">
        <f>INT(0+HDLVL/3)</f>
        <v>0</v>
      </c>
      <c r="C48" s="152">
        <f>INT(2+HDLVL/2)</f>
        <v>2</v>
      </c>
      <c r="D48" s="152">
        <f>INT(2+HDLVL/2)</f>
        <v>2</v>
      </c>
      <c r="E48" s="192">
        <v>6</v>
      </c>
      <c r="F48" s="159">
        <v>6</v>
      </c>
      <c r="G48" s="199">
        <f>INT(HDLVL*0.5)</f>
        <v>0</v>
      </c>
    </row>
    <row r="49" spans="1:9" ht="15.75" customHeight="1" x14ac:dyDescent="0.2">
      <c r="A49" s="193" t="s">
        <v>299</v>
      </c>
      <c r="B49" s="160">
        <f>INT(2+HDLVL/2)</f>
        <v>2</v>
      </c>
      <c r="C49" s="190">
        <f>INT(0+HDLVL/3)</f>
        <v>0</v>
      </c>
      <c r="D49" s="190">
        <f>INT(0+HDLVL/3)</f>
        <v>0</v>
      </c>
      <c r="E49" s="191">
        <v>2</v>
      </c>
      <c r="F49" s="160">
        <v>8</v>
      </c>
      <c r="G49" s="195">
        <f>INT(HDLVL*0.75)</f>
        <v>0</v>
      </c>
    </row>
    <row r="50" spans="1:9" ht="15.75" customHeight="1" x14ac:dyDescent="0.2">
      <c r="A50" s="198" t="s">
        <v>4</v>
      </c>
      <c r="B50" s="154">
        <f>INT(0+HDLVL/3)</f>
        <v>0</v>
      </c>
      <c r="C50" s="154">
        <f>INT(0+HDLVL/3)</f>
        <v>0</v>
      </c>
      <c r="D50" s="154">
        <f>INT(0+HDLVL/3)</f>
        <v>0</v>
      </c>
      <c r="E50" s="192">
        <v>2</v>
      </c>
      <c r="F50" s="159">
        <v>8</v>
      </c>
      <c r="G50" s="194">
        <f>INT(HDLVL*0.75)</f>
        <v>0</v>
      </c>
    </row>
    <row r="51" spans="1:9" ht="15.75" customHeight="1" x14ac:dyDescent="0.2">
      <c r="A51" s="197" t="s">
        <v>300</v>
      </c>
      <c r="B51" s="190">
        <f>INT(0+HDLVL/3)</f>
        <v>0</v>
      </c>
      <c r="C51" s="160">
        <f>INT(2+HDLVL/2)</f>
        <v>2</v>
      </c>
      <c r="D51" s="160">
        <f>INT(2+HDLVL/2)</f>
        <v>2</v>
      </c>
      <c r="E51" s="191">
        <v>2</v>
      </c>
      <c r="F51" s="160">
        <v>8</v>
      </c>
      <c r="G51" s="195">
        <f>INT(HDLVL*1)</f>
        <v>0</v>
      </c>
    </row>
    <row r="52" spans="1:9" ht="15.75" customHeight="1" x14ac:dyDescent="0.2">
      <c r="A52" s="198" t="s">
        <v>301</v>
      </c>
      <c r="B52" s="154">
        <f>INT(0+HDLVL/3)</f>
        <v>0</v>
      </c>
      <c r="C52" s="154">
        <f>INT(0+HDLVL/3)</f>
        <v>0</v>
      </c>
      <c r="D52" s="152">
        <f>INT(2+HDLVL/2)</f>
        <v>2</v>
      </c>
      <c r="E52" s="192">
        <v>4</v>
      </c>
      <c r="F52" s="159">
        <v>12</v>
      </c>
      <c r="G52" s="199">
        <f>INT(HDLVL*0.5)</f>
        <v>0</v>
      </c>
    </row>
    <row r="53" spans="1:9" ht="15.75" customHeight="1" x14ac:dyDescent="0.2">
      <c r="A53" s="193" t="s">
        <v>302</v>
      </c>
      <c r="B53" s="160">
        <f>INT(2+HDLVL/2)</f>
        <v>2</v>
      </c>
      <c r="C53" s="190">
        <f>INT(0+HDLVL/3)</f>
        <v>0</v>
      </c>
      <c r="D53" s="190">
        <f>INT(0+HDLVL/3)</f>
        <v>0</v>
      </c>
      <c r="E53" s="191">
        <v>2</v>
      </c>
      <c r="F53" s="160">
        <v>8</v>
      </c>
      <c r="G53" s="195">
        <f>INT(HDLVL*0.75)</f>
        <v>0</v>
      </c>
    </row>
    <row r="54" spans="1:9" ht="15.75" customHeight="1" x14ac:dyDescent="0.2">
      <c r="A54" s="200" t="s">
        <v>303</v>
      </c>
      <c r="B54" s="201">
        <f>INT(2+HDLVL/2)</f>
        <v>2</v>
      </c>
      <c r="C54" s="202">
        <f>INT(0+HDLVL/3)</f>
        <v>0</v>
      </c>
      <c r="D54" s="202">
        <f>INT(0+HDLVL/3)</f>
        <v>0</v>
      </c>
      <c r="E54" s="203">
        <v>2</v>
      </c>
      <c r="F54" s="204">
        <v>8</v>
      </c>
      <c r="G54" s="205">
        <f>INT(HDLVL*0.75)</f>
        <v>0</v>
      </c>
    </row>
    <row r="55" spans="1:9" ht="15.75" customHeight="1" x14ac:dyDescent="0.2">
      <c r="A55" s="200" t="s">
        <v>213</v>
      </c>
      <c r="B55" s="10"/>
      <c r="C55" s="202">
        <f>INT(0+HDLVL/3)</f>
        <v>0</v>
      </c>
      <c r="D55" s="10"/>
      <c r="E55" s="203"/>
      <c r="F55" s="204"/>
      <c r="G55" s="10"/>
    </row>
    <row r="56" spans="1:9" ht="12.75" customHeight="1" x14ac:dyDescent="0.2"/>
    <row r="57" spans="1:9" ht="12.75" customHeight="1" x14ac:dyDescent="0.2"/>
    <row r="58" spans="1:9" ht="15.75" customHeight="1" x14ac:dyDescent="0.2">
      <c r="A58" s="161" t="s">
        <v>14</v>
      </c>
      <c r="B58" s="206" t="s">
        <v>38</v>
      </c>
      <c r="C58" s="206" t="s">
        <v>42</v>
      </c>
      <c r="D58" s="206" t="s">
        <v>54</v>
      </c>
      <c r="E58" s="162" t="s">
        <v>51</v>
      </c>
      <c r="F58" s="162" t="s">
        <v>305</v>
      </c>
      <c r="G58" s="165" t="s">
        <v>306</v>
      </c>
      <c r="H58" s="162" t="s">
        <v>307</v>
      </c>
      <c r="I58" s="207" t="s">
        <v>308</v>
      </c>
    </row>
    <row r="59" spans="1:9" ht="15.75" customHeight="1" x14ac:dyDescent="0.2">
      <c r="A59" s="208" t="s">
        <v>309</v>
      </c>
      <c r="B59" s="209" t="s">
        <v>310</v>
      </c>
      <c r="C59" s="209" t="s">
        <v>311</v>
      </c>
      <c r="D59" s="209" t="s">
        <v>312</v>
      </c>
      <c r="E59" s="209" t="s">
        <v>313</v>
      </c>
      <c r="F59" s="209" t="s">
        <v>311</v>
      </c>
      <c r="G59" s="210">
        <v>-16</v>
      </c>
      <c r="H59" s="211" t="s">
        <v>314</v>
      </c>
      <c r="I59" s="211" t="s">
        <v>315</v>
      </c>
    </row>
    <row r="60" spans="1:9" ht="15.75" customHeight="1" x14ac:dyDescent="0.2">
      <c r="A60" s="208" t="s">
        <v>316</v>
      </c>
      <c r="B60" s="209" t="s">
        <v>310</v>
      </c>
      <c r="C60" s="209" t="s">
        <v>317</v>
      </c>
      <c r="D60" s="209" t="s">
        <v>312</v>
      </c>
      <c r="E60" s="209" t="s">
        <v>313</v>
      </c>
      <c r="F60" s="209" t="s">
        <v>318</v>
      </c>
      <c r="G60" s="210">
        <v>-12</v>
      </c>
      <c r="H60" s="209" t="s">
        <v>319</v>
      </c>
      <c r="I60" s="209" t="s">
        <v>320</v>
      </c>
    </row>
    <row r="61" spans="1:9" ht="15.75" customHeight="1" x14ac:dyDescent="0.2">
      <c r="A61" s="208" t="s">
        <v>321</v>
      </c>
      <c r="B61" s="209" t="s">
        <v>322</v>
      </c>
      <c r="C61" s="209" t="s">
        <v>318</v>
      </c>
      <c r="D61" s="209" t="s">
        <v>312</v>
      </c>
      <c r="E61" s="209" t="s">
        <v>313</v>
      </c>
      <c r="F61" s="209" t="s">
        <v>323</v>
      </c>
      <c r="G61" s="210">
        <v>-8</v>
      </c>
      <c r="H61" s="209" t="s">
        <v>324</v>
      </c>
      <c r="I61" s="209" t="s">
        <v>311</v>
      </c>
    </row>
    <row r="62" spans="1:9" ht="15.75" customHeight="1" x14ac:dyDescent="0.2">
      <c r="A62" s="208" t="s">
        <v>325</v>
      </c>
      <c r="B62" s="209" t="s">
        <v>326</v>
      </c>
      <c r="C62" s="209" t="s">
        <v>323</v>
      </c>
      <c r="D62" s="209" t="s">
        <v>312</v>
      </c>
      <c r="E62" s="209" t="s">
        <v>313</v>
      </c>
      <c r="F62" s="209" t="s">
        <v>327</v>
      </c>
      <c r="G62" s="210">
        <v>-4</v>
      </c>
      <c r="H62" s="209" t="s">
        <v>328</v>
      </c>
      <c r="I62" s="209" t="s">
        <v>318</v>
      </c>
    </row>
    <row r="63" spans="1:9" ht="15.75" customHeight="1" x14ac:dyDescent="0.2">
      <c r="A63" s="208" t="s">
        <v>13</v>
      </c>
      <c r="B63" s="209" t="s">
        <v>313</v>
      </c>
      <c r="C63" s="209" t="s">
        <v>313</v>
      </c>
      <c r="D63" s="209" t="s">
        <v>313</v>
      </c>
      <c r="E63" s="209" t="s">
        <v>313</v>
      </c>
      <c r="F63" s="209" t="s">
        <v>313</v>
      </c>
      <c r="G63" s="210">
        <v>0</v>
      </c>
      <c r="H63" s="209" t="s">
        <v>329</v>
      </c>
      <c r="I63" s="209" t="s">
        <v>313</v>
      </c>
    </row>
    <row r="64" spans="1:9" ht="15.75" customHeight="1" x14ac:dyDescent="0.2">
      <c r="A64" s="208" t="s">
        <v>330</v>
      </c>
      <c r="B64" s="209" t="s">
        <v>311</v>
      </c>
      <c r="C64" s="209" t="s">
        <v>312</v>
      </c>
      <c r="D64" s="209" t="s">
        <v>318</v>
      </c>
      <c r="E64" s="209" t="s">
        <v>323</v>
      </c>
      <c r="F64" s="209" t="s">
        <v>331</v>
      </c>
      <c r="G64" s="210" t="s">
        <v>318</v>
      </c>
      <c r="H64" s="209" t="s">
        <v>332</v>
      </c>
      <c r="I64" s="209" t="s">
        <v>326</v>
      </c>
    </row>
    <row r="65" spans="1:61" ht="15.75" customHeight="1" x14ac:dyDescent="0.2">
      <c r="A65" s="208" t="s">
        <v>333</v>
      </c>
      <c r="B65" s="209" t="s">
        <v>315</v>
      </c>
      <c r="C65" s="209" t="s">
        <v>326</v>
      </c>
      <c r="D65" s="209" t="s">
        <v>311</v>
      </c>
      <c r="E65" s="209" t="s">
        <v>334</v>
      </c>
      <c r="F65" s="209" t="s">
        <v>312</v>
      </c>
      <c r="G65" s="210" t="s">
        <v>311</v>
      </c>
      <c r="H65" s="209" t="s">
        <v>335</v>
      </c>
      <c r="I65" s="209" t="s">
        <v>322</v>
      </c>
    </row>
    <row r="66" spans="1:61" ht="15.75" customHeight="1" x14ac:dyDescent="0.2">
      <c r="A66" s="208" t="s">
        <v>336</v>
      </c>
      <c r="B66" s="209" t="s">
        <v>337</v>
      </c>
      <c r="C66" s="209" t="s">
        <v>326</v>
      </c>
      <c r="D66" s="209" t="s">
        <v>320</v>
      </c>
      <c r="E66" s="209" t="s">
        <v>338</v>
      </c>
      <c r="F66" s="209" t="s">
        <v>326</v>
      </c>
      <c r="G66" s="210" t="s">
        <v>320</v>
      </c>
      <c r="H66" s="209" t="s">
        <v>339</v>
      </c>
      <c r="I66" s="209" t="s">
        <v>340</v>
      </c>
    </row>
    <row r="67" spans="1:61" ht="15.75" customHeight="1" x14ac:dyDescent="0.2">
      <c r="A67" s="212" t="s">
        <v>341</v>
      </c>
      <c r="B67" s="213" t="s">
        <v>342</v>
      </c>
      <c r="C67" s="213" t="s">
        <v>326</v>
      </c>
      <c r="D67" s="213" t="s">
        <v>315</v>
      </c>
      <c r="E67" s="213" t="s">
        <v>343</v>
      </c>
      <c r="F67" s="213" t="s">
        <v>322</v>
      </c>
      <c r="G67" s="214" t="s">
        <v>315</v>
      </c>
      <c r="H67" s="213" t="s">
        <v>344</v>
      </c>
      <c r="I67" s="213" t="s">
        <v>345</v>
      </c>
    </row>
    <row r="68" spans="1:61" ht="12.75" customHeight="1" x14ac:dyDescent="0.2"/>
    <row r="69" spans="1:61" ht="12.75" customHeight="1" x14ac:dyDescent="0.2"/>
    <row r="70" spans="1:61" ht="15.75" customHeight="1" x14ac:dyDescent="0.2">
      <c r="A70" s="215" t="s">
        <v>109</v>
      </c>
      <c r="B70" s="216" t="s">
        <v>221</v>
      </c>
      <c r="C70" s="216" t="s">
        <v>346</v>
      </c>
      <c r="D70" s="216" t="s">
        <v>347</v>
      </c>
      <c r="E70" s="217">
        <v>4</v>
      </c>
      <c r="F70" s="217">
        <v>5</v>
      </c>
      <c r="G70" s="217">
        <v>6</v>
      </c>
      <c r="H70" s="217">
        <v>7</v>
      </c>
      <c r="I70" s="217">
        <v>8</v>
      </c>
      <c r="J70" s="217">
        <v>9</v>
      </c>
      <c r="K70" s="217">
        <v>10</v>
      </c>
      <c r="L70" s="217">
        <v>11</v>
      </c>
      <c r="M70" s="217">
        <v>12</v>
      </c>
      <c r="N70" s="217">
        <v>13</v>
      </c>
      <c r="O70" s="217">
        <v>14</v>
      </c>
      <c r="P70" s="217">
        <v>15</v>
      </c>
      <c r="Q70" s="217">
        <v>16</v>
      </c>
      <c r="R70" s="217">
        <v>17</v>
      </c>
      <c r="S70" s="217">
        <v>18</v>
      </c>
      <c r="T70" s="217">
        <v>19</v>
      </c>
      <c r="U70" s="217">
        <v>20</v>
      </c>
      <c r="V70" s="217">
        <v>21</v>
      </c>
      <c r="W70" s="217">
        <v>22</v>
      </c>
      <c r="X70" s="217">
        <v>23</v>
      </c>
      <c r="Y70" s="217">
        <v>24</v>
      </c>
      <c r="Z70" s="217">
        <v>25</v>
      </c>
      <c r="AA70" s="217">
        <v>26</v>
      </c>
      <c r="AB70" s="217">
        <v>27</v>
      </c>
      <c r="AC70" s="217">
        <v>28</v>
      </c>
      <c r="AD70" s="217">
        <v>29</v>
      </c>
      <c r="AE70" s="217">
        <v>30</v>
      </c>
      <c r="AF70" s="217">
        <v>31</v>
      </c>
      <c r="AG70" s="217">
        <v>32</v>
      </c>
      <c r="AH70" s="217">
        <v>33</v>
      </c>
      <c r="AI70" s="217">
        <v>34</v>
      </c>
      <c r="AJ70" s="217">
        <v>35</v>
      </c>
      <c r="AK70" s="217">
        <v>36</v>
      </c>
      <c r="AL70" s="217">
        <v>37</v>
      </c>
      <c r="AM70" s="217">
        <v>38</v>
      </c>
      <c r="AN70" s="217">
        <v>39</v>
      </c>
      <c r="AO70" s="217">
        <v>40</v>
      </c>
      <c r="AP70" s="218"/>
      <c r="AQ70" s="219"/>
      <c r="AR70" s="219"/>
      <c r="AS70" s="219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219"/>
      <c r="BG70" s="219"/>
      <c r="BH70" s="219"/>
      <c r="BI70" s="219"/>
    </row>
    <row r="71" spans="1:61" ht="15.75" customHeight="1" x14ac:dyDescent="0.2">
      <c r="A71" s="220">
        <v>0</v>
      </c>
      <c r="B71" s="172">
        <v>0</v>
      </c>
      <c r="C71" s="172">
        <v>0</v>
      </c>
      <c r="D71" s="172">
        <v>0</v>
      </c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</row>
    <row r="72" spans="1:61" ht="15.75" customHeight="1" x14ac:dyDescent="0.2">
      <c r="A72" s="222">
        <v>1</v>
      </c>
      <c r="B72" s="223">
        <v>3</v>
      </c>
      <c r="C72" s="223">
        <v>6</v>
      </c>
      <c r="D72" s="223" t="s">
        <v>348</v>
      </c>
      <c r="E72" s="224">
        <v>13</v>
      </c>
      <c r="F72" s="224">
        <v>16</v>
      </c>
      <c r="G72" s="224">
        <v>20</v>
      </c>
      <c r="H72" s="224">
        <v>23</v>
      </c>
      <c r="I72" s="224">
        <v>26</v>
      </c>
      <c r="J72" s="224">
        <v>30</v>
      </c>
      <c r="K72" s="224">
        <v>33</v>
      </c>
      <c r="L72" s="224">
        <v>38</v>
      </c>
      <c r="M72" s="224">
        <v>43</v>
      </c>
      <c r="N72" s="224">
        <v>50</v>
      </c>
      <c r="O72" s="224">
        <v>58</v>
      </c>
      <c r="P72" s="224">
        <v>66</v>
      </c>
      <c r="Q72" s="224">
        <v>76</v>
      </c>
      <c r="R72" s="224">
        <v>86</v>
      </c>
      <c r="S72" s="224">
        <v>100</v>
      </c>
      <c r="T72" s="224">
        <v>116</v>
      </c>
      <c r="U72" s="224">
        <v>133</v>
      </c>
      <c r="V72" s="224">
        <v>153</v>
      </c>
      <c r="W72" s="224">
        <v>173</v>
      </c>
      <c r="X72" s="224">
        <v>200</v>
      </c>
      <c r="Y72" s="224">
        <v>233</v>
      </c>
      <c r="Z72" s="224">
        <v>266</v>
      </c>
      <c r="AA72" s="224">
        <v>306</v>
      </c>
      <c r="AB72" s="224">
        <v>346</v>
      </c>
      <c r="AC72" s="224">
        <v>400</v>
      </c>
      <c r="AD72" s="224">
        <v>466</v>
      </c>
      <c r="AE72" s="224">
        <v>533</v>
      </c>
      <c r="AF72" s="224">
        <v>613</v>
      </c>
      <c r="AG72" s="224">
        <v>692</v>
      </c>
      <c r="AH72" s="224">
        <v>800</v>
      </c>
      <c r="AI72" s="224">
        <v>932</v>
      </c>
      <c r="AJ72" s="224">
        <v>1064</v>
      </c>
      <c r="AK72" s="224">
        <v>1224</v>
      </c>
      <c r="AL72" s="224">
        <v>1384</v>
      </c>
      <c r="AM72" s="224">
        <v>1600</v>
      </c>
      <c r="AN72" s="224">
        <v>1864</v>
      </c>
      <c r="AO72" s="224">
        <v>2132</v>
      </c>
    </row>
    <row r="73" spans="1:61" ht="15.75" customHeight="1" x14ac:dyDescent="0.2">
      <c r="A73" s="225">
        <v>2</v>
      </c>
      <c r="B73" s="172">
        <v>6</v>
      </c>
      <c r="C73" s="172">
        <v>13</v>
      </c>
      <c r="D73" s="172" t="s">
        <v>349</v>
      </c>
      <c r="E73" s="108">
        <v>26</v>
      </c>
      <c r="F73" s="108">
        <v>33</v>
      </c>
      <c r="G73" s="108">
        <v>40</v>
      </c>
      <c r="H73" s="108">
        <v>46</v>
      </c>
      <c r="I73" s="108">
        <v>53</v>
      </c>
      <c r="J73" s="108">
        <v>60</v>
      </c>
      <c r="K73" s="108">
        <v>66</v>
      </c>
      <c r="L73" s="108">
        <v>76</v>
      </c>
      <c r="M73" s="108">
        <v>86</v>
      </c>
      <c r="N73" s="108">
        <v>100</v>
      </c>
      <c r="O73" s="108">
        <v>116</v>
      </c>
      <c r="P73" s="108">
        <v>133</v>
      </c>
      <c r="Q73" s="108">
        <v>153</v>
      </c>
      <c r="R73" s="108">
        <v>173</v>
      </c>
      <c r="S73" s="108">
        <v>200</v>
      </c>
      <c r="T73" s="108">
        <v>233</v>
      </c>
      <c r="U73" s="108">
        <v>266</v>
      </c>
      <c r="V73" s="108">
        <v>306</v>
      </c>
      <c r="W73" s="108">
        <v>346</v>
      </c>
      <c r="X73" s="108">
        <v>400</v>
      </c>
      <c r="Y73" s="108">
        <v>466</v>
      </c>
      <c r="Z73" s="108">
        <v>533</v>
      </c>
      <c r="AA73" s="108">
        <v>613</v>
      </c>
      <c r="AB73" s="108">
        <v>693</v>
      </c>
      <c r="AC73" s="108">
        <v>800</v>
      </c>
      <c r="AD73" s="108">
        <v>933</v>
      </c>
      <c r="AE73" s="108">
        <v>1064</v>
      </c>
      <c r="AF73" s="108">
        <v>1224</v>
      </c>
      <c r="AG73" s="108">
        <v>1384</v>
      </c>
      <c r="AH73" s="108">
        <v>1600</v>
      </c>
      <c r="AI73" s="108">
        <v>1864</v>
      </c>
      <c r="AJ73" s="108">
        <v>2132</v>
      </c>
      <c r="AK73" s="108">
        <v>2452</v>
      </c>
      <c r="AL73" s="108">
        <v>2772</v>
      </c>
      <c r="AM73" s="108">
        <v>3200</v>
      </c>
      <c r="AN73" s="108">
        <v>3732</v>
      </c>
      <c r="AO73" s="108">
        <v>4256</v>
      </c>
    </row>
    <row r="74" spans="1:61" ht="15.75" customHeight="1" x14ac:dyDescent="0.2">
      <c r="A74" s="222">
        <v>3</v>
      </c>
      <c r="B74" s="172">
        <v>10</v>
      </c>
      <c r="C74" s="172" t="s">
        <v>349</v>
      </c>
      <c r="D74" s="172" t="s">
        <v>350</v>
      </c>
      <c r="E74" s="108">
        <v>40</v>
      </c>
      <c r="F74" s="108">
        <v>50</v>
      </c>
      <c r="G74" s="108">
        <v>60</v>
      </c>
      <c r="H74" s="108">
        <v>70</v>
      </c>
      <c r="I74" s="108">
        <v>80</v>
      </c>
      <c r="J74" s="108">
        <v>90</v>
      </c>
      <c r="K74" s="108">
        <v>100</v>
      </c>
      <c r="L74" s="108">
        <v>115</v>
      </c>
      <c r="M74" s="108">
        <v>130</v>
      </c>
      <c r="N74" s="108">
        <v>150</v>
      </c>
      <c r="O74" s="108">
        <v>175</v>
      </c>
      <c r="P74" s="108">
        <v>200</v>
      </c>
      <c r="Q74" s="108">
        <v>230</v>
      </c>
      <c r="R74" s="108">
        <v>260</v>
      </c>
      <c r="S74" s="108">
        <v>300</v>
      </c>
      <c r="T74" s="108">
        <v>350</v>
      </c>
      <c r="U74" s="108">
        <v>400</v>
      </c>
      <c r="V74" s="108">
        <v>460</v>
      </c>
      <c r="W74" s="108">
        <v>520</v>
      </c>
      <c r="X74" s="108">
        <v>600</v>
      </c>
      <c r="Y74" s="108">
        <v>700</v>
      </c>
      <c r="Z74" s="108">
        <v>800</v>
      </c>
      <c r="AA74" s="108">
        <v>920</v>
      </c>
      <c r="AB74" s="108">
        <v>1040</v>
      </c>
      <c r="AC74" s="108">
        <v>1200</v>
      </c>
      <c r="AD74" s="108">
        <v>1400</v>
      </c>
      <c r="AE74" s="108">
        <v>1600</v>
      </c>
      <c r="AF74" s="108">
        <v>1840</v>
      </c>
      <c r="AG74" s="108">
        <v>2080</v>
      </c>
      <c r="AH74" s="108">
        <v>2400</v>
      </c>
      <c r="AI74" s="108">
        <v>2800</v>
      </c>
      <c r="AJ74" s="108">
        <v>3200</v>
      </c>
      <c r="AK74" s="108">
        <v>3680</v>
      </c>
      <c r="AL74" s="108">
        <v>4160</v>
      </c>
      <c r="AM74" s="108">
        <v>4800</v>
      </c>
      <c r="AN74" s="108">
        <v>5600</v>
      </c>
      <c r="AO74" s="108">
        <v>6400</v>
      </c>
    </row>
    <row r="75" spans="1:61" ht="15.75" customHeight="1" x14ac:dyDescent="0.2">
      <c r="A75" s="226">
        <v>4</v>
      </c>
      <c r="B75" s="223">
        <v>13</v>
      </c>
      <c r="C75" s="223" t="s">
        <v>351</v>
      </c>
      <c r="D75" s="223" t="s">
        <v>352</v>
      </c>
    </row>
    <row r="76" spans="1:61" ht="15.75" customHeight="1" x14ac:dyDescent="0.2">
      <c r="A76" s="220">
        <v>5</v>
      </c>
      <c r="B76" s="172">
        <v>16</v>
      </c>
      <c r="C76" s="172" t="s">
        <v>353</v>
      </c>
      <c r="D76" s="172" t="s">
        <v>354</v>
      </c>
    </row>
    <row r="77" spans="1:61" ht="15.75" customHeight="1" x14ac:dyDescent="0.2">
      <c r="A77" s="220">
        <v>6</v>
      </c>
      <c r="B77" s="172">
        <v>20</v>
      </c>
      <c r="C77" s="172" t="s">
        <v>352</v>
      </c>
      <c r="D77" s="172" t="s">
        <v>355</v>
      </c>
    </row>
    <row r="78" spans="1:61" ht="15.75" customHeight="1" x14ac:dyDescent="0.2">
      <c r="A78" s="220">
        <v>7</v>
      </c>
      <c r="B78" s="172">
        <v>23</v>
      </c>
      <c r="C78" s="172" t="s">
        <v>356</v>
      </c>
      <c r="D78" s="172" t="s">
        <v>357</v>
      </c>
      <c r="AE78" s="227"/>
      <c r="AF78" s="227"/>
      <c r="AG78" s="227"/>
    </row>
    <row r="79" spans="1:61" ht="15.75" customHeight="1" x14ac:dyDescent="0.2">
      <c r="A79" s="220">
        <v>8</v>
      </c>
      <c r="B79" s="172">
        <v>26</v>
      </c>
      <c r="C79" s="172" t="s">
        <v>358</v>
      </c>
      <c r="D79" s="172" t="s">
        <v>359</v>
      </c>
      <c r="AE79" s="227"/>
      <c r="AF79" s="227"/>
      <c r="AG79" s="227"/>
    </row>
    <row r="80" spans="1:61" ht="15.75" customHeight="1" x14ac:dyDescent="0.2">
      <c r="A80" s="220">
        <v>9</v>
      </c>
      <c r="B80" s="172">
        <v>30</v>
      </c>
      <c r="C80" s="172" t="s">
        <v>355</v>
      </c>
      <c r="D80" s="172" t="s">
        <v>360</v>
      </c>
      <c r="AE80" s="227"/>
      <c r="AF80" s="227"/>
      <c r="AG80" s="227"/>
    </row>
    <row r="81" spans="1:33" ht="15.75" customHeight="1" x14ac:dyDescent="0.2">
      <c r="A81" s="220">
        <v>10</v>
      </c>
      <c r="B81" s="172">
        <v>33</v>
      </c>
      <c r="C81" s="172" t="s">
        <v>361</v>
      </c>
      <c r="D81" s="172" t="s">
        <v>362</v>
      </c>
      <c r="AE81" s="227"/>
      <c r="AF81" s="227"/>
      <c r="AG81" s="227"/>
    </row>
    <row r="82" spans="1:33" ht="15.75" customHeight="1" x14ac:dyDescent="0.2">
      <c r="A82" s="220">
        <v>11</v>
      </c>
      <c r="B82" s="172">
        <v>38</v>
      </c>
      <c r="C82" s="172" t="s">
        <v>363</v>
      </c>
      <c r="D82" s="172" t="s">
        <v>364</v>
      </c>
      <c r="AE82" s="227"/>
      <c r="AF82" s="227"/>
      <c r="AG82" s="227"/>
    </row>
    <row r="83" spans="1:33" ht="15.75" customHeight="1" x14ac:dyDescent="0.2">
      <c r="A83" s="220">
        <v>12</v>
      </c>
      <c r="B83" s="172">
        <v>43</v>
      </c>
      <c r="C83" s="172" t="s">
        <v>365</v>
      </c>
      <c r="D83" s="172" t="s">
        <v>366</v>
      </c>
      <c r="AE83" s="227"/>
      <c r="AF83" s="227"/>
      <c r="AG83" s="227"/>
    </row>
    <row r="84" spans="1:33" ht="15.75" customHeight="1" x14ac:dyDescent="0.2">
      <c r="A84" s="220">
        <v>13</v>
      </c>
      <c r="B84" s="172">
        <v>50</v>
      </c>
      <c r="C84" s="172" t="s">
        <v>362</v>
      </c>
      <c r="D84" s="172" t="s">
        <v>367</v>
      </c>
      <c r="AE84" s="227"/>
      <c r="AF84" s="227"/>
      <c r="AG84" s="227"/>
    </row>
    <row r="85" spans="1:33" ht="15.75" customHeight="1" x14ac:dyDescent="0.2">
      <c r="A85" s="220">
        <v>14</v>
      </c>
      <c r="B85" s="172">
        <v>58</v>
      </c>
      <c r="C85" s="172" t="s">
        <v>368</v>
      </c>
      <c r="D85" s="172" t="s">
        <v>369</v>
      </c>
      <c r="AE85" s="227"/>
      <c r="AF85" s="227"/>
      <c r="AG85" s="227"/>
    </row>
    <row r="86" spans="1:33" ht="15.75" customHeight="1" x14ac:dyDescent="0.2">
      <c r="A86" s="220">
        <v>15</v>
      </c>
      <c r="B86" s="172">
        <v>66</v>
      </c>
      <c r="C86" s="172" t="s">
        <v>370</v>
      </c>
      <c r="D86" s="172" t="s">
        <v>371</v>
      </c>
      <c r="AE86" s="227"/>
      <c r="AF86" s="227"/>
      <c r="AG86" s="227"/>
    </row>
    <row r="87" spans="1:33" ht="15.75" customHeight="1" x14ac:dyDescent="0.2">
      <c r="A87" s="220">
        <v>16</v>
      </c>
      <c r="B87" s="172">
        <v>76</v>
      </c>
      <c r="C87" s="172" t="s">
        <v>372</v>
      </c>
      <c r="D87" s="172" t="s">
        <v>373</v>
      </c>
      <c r="AE87" s="227"/>
      <c r="AF87" s="227"/>
      <c r="AG87" s="227"/>
    </row>
    <row r="88" spans="1:33" ht="15.75" customHeight="1" x14ac:dyDescent="0.2">
      <c r="A88" s="220">
        <v>17</v>
      </c>
      <c r="B88" s="172">
        <v>86</v>
      </c>
      <c r="C88" s="172" t="s">
        <v>374</v>
      </c>
      <c r="D88" s="172" t="s">
        <v>375</v>
      </c>
      <c r="AE88" s="227"/>
      <c r="AF88" s="227"/>
      <c r="AG88" s="227"/>
    </row>
    <row r="89" spans="1:33" ht="15.75" customHeight="1" x14ac:dyDescent="0.2">
      <c r="A89" s="220">
        <v>18</v>
      </c>
      <c r="B89" s="172">
        <v>100</v>
      </c>
      <c r="C89" s="172" t="s">
        <v>371</v>
      </c>
      <c r="D89" s="172" t="s">
        <v>376</v>
      </c>
    </row>
    <row r="90" spans="1:33" ht="15.75" customHeight="1" x14ac:dyDescent="0.2">
      <c r="A90" s="220">
        <v>19</v>
      </c>
      <c r="B90" s="172">
        <v>116</v>
      </c>
      <c r="C90" s="172" t="s">
        <v>377</v>
      </c>
      <c r="D90" s="172" t="s">
        <v>378</v>
      </c>
    </row>
    <row r="91" spans="1:33" ht="15.75" customHeight="1" x14ac:dyDescent="0.2">
      <c r="A91" s="220">
        <v>20</v>
      </c>
      <c r="B91" s="172">
        <v>133</v>
      </c>
      <c r="C91" s="172" t="s">
        <v>379</v>
      </c>
      <c r="D91" s="172" t="s">
        <v>380</v>
      </c>
    </row>
    <row r="92" spans="1:33" ht="15.75" customHeight="1" x14ac:dyDescent="0.2">
      <c r="A92" s="220">
        <v>21</v>
      </c>
      <c r="B92" s="172">
        <v>153</v>
      </c>
      <c r="C92" s="172" t="s">
        <v>381</v>
      </c>
      <c r="D92" s="172" t="s">
        <v>382</v>
      </c>
    </row>
    <row r="93" spans="1:33" ht="15.75" customHeight="1" x14ac:dyDescent="0.2">
      <c r="A93" s="220">
        <v>22</v>
      </c>
      <c r="B93" s="172">
        <v>173</v>
      </c>
      <c r="C93" s="172" t="s">
        <v>383</v>
      </c>
      <c r="D93" s="172" t="s">
        <v>384</v>
      </c>
    </row>
    <row r="94" spans="1:33" ht="15.75" customHeight="1" x14ac:dyDescent="0.2">
      <c r="A94" s="220">
        <v>23</v>
      </c>
      <c r="B94" s="172">
        <v>200</v>
      </c>
      <c r="C94" s="172" t="s">
        <v>380</v>
      </c>
      <c r="D94" s="172" t="s">
        <v>385</v>
      </c>
    </row>
    <row r="95" spans="1:33" ht="15.75" customHeight="1" x14ac:dyDescent="0.2">
      <c r="A95" s="220">
        <v>24</v>
      </c>
      <c r="B95" s="172">
        <v>233</v>
      </c>
      <c r="C95" s="172" t="s">
        <v>386</v>
      </c>
      <c r="D95" s="172" t="s">
        <v>387</v>
      </c>
    </row>
    <row r="96" spans="1:33" ht="15.75" customHeight="1" x14ac:dyDescent="0.2">
      <c r="A96" s="220">
        <v>25</v>
      </c>
      <c r="B96" s="172">
        <v>266</v>
      </c>
      <c r="C96" s="172" t="s">
        <v>388</v>
      </c>
      <c r="D96" s="172" t="s">
        <v>389</v>
      </c>
    </row>
    <row r="97" spans="1:4" ht="15.75" customHeight="1" x14ac:dyDescent="0.2">
      <c r="A97" s="220">
        <v>26</v>
      </c>
      <c r="B97" s="172">
        <v>306</v>
      </c>
      <c r="C97" s="172" t="s">
        <v>390</v>
      </c>
      <c r="D97" s="172" t="s">
        <v>391</v>
      </c>
    </row>
    <row r="98" spans="1:4" ht="15.75" customHeight="1" x14ac:dyDescent="0.2">
      <c r="A98" s="220">
        <v>27</v>
      </c>
      <c r="B98" s="172">
        <v>346</v>
      </c>
      <c r="C98" s="172" t="s">
        <v>392</v>
      </c>
      <c r="D98" s="172" t="s">
        <v>393</v>
      </c>
    </row>
    <row r="99" spans="1:4" ht="15.75" customHeight="1" x14ac:dyDescent="0.2">
      <c r="A99" s="220">
        <v>28</v>
      </c>
      <c r="B99" s="172">
        <v>400</v>
      </c>
      <c r="C99" s="172" t="s">
        <v>389</v>
      </c>
      <c r="D99" s="172" t="s">
        <v>394</v>
      </c>
    </row>
    <row r="100" spans="1:4" ht="15.75" customHeight="1" x14ac:dyDescent="0.2">
      <c r="A100" s="220">
        <v>29</v>
      </c>
      <c r="B100" s="172">
        <v>466</v>
      </c>
      <c r="C100" s="172" t="s">
        <v>395</v>
      </c>
      <c r="D100" s="172" t="s">
        <v>396</v>
      </c>
    </row>
    <row r="101" spans="1:4" ht="15.75" customHeight="1" x14ac:dyDescent="0.2">
      <c r="A101" s="220">
        <v>30</v>
      </c>
      <c r="B101" s="114">
        <v>533</v>
      </c>
      <c r="C101" s="172" t="s">
        <v>397</v>
      </c>
      <c r="D101" s="172" t="s">
        <v>398</v>
      </c>
    </row>
    <row r="102" spans="1:4" ht="15.75" customHeight="1" x14ac:dyDescent="0.2">
      <c r="A102" s="220">
        <v>31</v>
      </c>
      <c r="B102" s="172" t="s">
        <v>390</v>
      </c>
      <c r="C102" s="172" t="s">
        <v>399</v>
      </c>
      <c r="D102" s="172" t="s">
        <v>400</v>
      </c>
    </row>
    <row r="103" spans="1:4" ht="15.75" customHeight="1" x14ac:dyDescent="0.2">
      <c r="A103" s="220">
        <v>32</v>
      </c>
      <c r="B103" s="172" t="s">
        <v>401</v>
      </c>
      <c r="C103" s="172" t="s">
        <v>402</v>
      </c>
      <c r="D103" s="172" t="s">
        <v>403</v>
      </c>
    </row>
    <row r="104" spans="1:4" ht="15.75" customHeight="1" x14ac:dyDescent="0.2">
      <c r="A104" s="220">
        <v>33</v>
      </c>
      <c r="B104" s="172" t="s">
        <v>389</v>
      </c>
      <c r="C104" s="172" t="s">
        <v>398</v>
      </c>
      <c r="D104" s="172" t="s">
        <v>404</v>
      </c>
    </row>
    <row r="105" spans="1:4" ht="15.75" customHeight="1" x14ac:dyDescent="0.2">
      <c r="A105" s="220">
        <v>34</v>
      </c>
      <c r="B105" s="172" t="s">
        <v>405</v>
      </c>
      <c r="C105" s="172" t="s">
        <v>406</v>
      </c>
      <c r="D105" s="172" t="s">
        <v>407</v>
      </c>
    </row>
    <row r="106" spans="1:4" ht="15.75" customHeight="1" x14ac:dyDescent="0.2">
      <c r="A106" s="220">
        <v>35</v>
      </c>
      <c r="B106" s="172" t="s">
        <v>397</v>
      </c>
      <c r="C106" s="172" t="s">
        <v>408</v>
      </c>
      <c r="D106" s="172" t="s">
        <v>409</v>
      </c>
    </row>
    <row r="107" spans="1:4" ht="15.75" customHeight="1" x14ac:dyDescent="0.2">
      <c r="A107" s="220">
        <v>36</v>
      </c>
      <c r="B107" s="172" t="s">
        <v>399</v>
      </c>
      <c r="C107" s="172" t="s">
        <v>410</v>
      </c>
      <c r="D107" s="172" t="s">
        <v>411</v>
      </c>
    </row>
    <row r="108" spans="1:4" ht="15.75" customHeight="1" x14ac:dyDescent="0.2">
      <c r="A108" s="220">
        <v>37</v>
      </c>
      <c r="B108" s="172" t="s">
        <v>402</v>
      </c>
      <c r="C108" s="172" t="s">
        <v>412</v>
      </c>
      <c r="D108" s="172" t="s">
        <v>413</v>
      </c>
    </row>
    <row r="109" spans="1:4" ht="15.75" customHeight="1" x14ac:dyDescent="0.2">
      <c r="A109" s="220">
        <v>38</v>
      </c>
      <c r="B109" s="172" t="s">
        <v>398</v>
      </c>
      <c r="C109" s="172" t="s">
        <v>409</v>
      </c>
      <c r="D109" s="172" t="s">
        <v>414</v>
      </c>
    </row>
    <row r="110" spans="1:4" ht="15.75" customHeight="1" x14ac:dyDescent="0.2">
      <c r="A110" s="220">
        <v>39</v>
      </c>
      <c r="B110" s="172" t="s">
        <v>406</v>
      </c>
      <c r="C110" s="172" t="s">
        <v>415</v>
      </c>
      <c r="D110" s="172" t="s">
        <v>416</v>
      </c>
    </row>
    <row r="111" spans="1:4" ht="15.75" customHeight="1" x14ac:dyDescent="0.2">
      <c r="A111" s="228">
        <v>40</v>
      </c>
      <c r="B111" s="229" t="s">
        <v>408</v>
      </c>
      <c r="C111" s="229" t="s">
        <v>417</v>
      </c>
      <c r="D111" s="229" t="s">
        <v>418</v>
      </c>
    </row>
    <row r="112" spans="1:4" ht="12.75" customHeight="1" x14ac:dyDescent="0.2"/>
    <row r="113" spans="1:61" ht="12.75" customHeight="1" x14ac:dyDescent="0.2"/>
    <row r="114" spans="1:61" ht="15.75" customHeight="1" x14ac:dyDescent="0.2">
      <c r="A114" s="230" t="s">
        <v>419</v>
      </c>
      <c r="B114" s="230" t="s">
        <v>161</v>
      </c>
      <c r="C114" s="230" t="s">
        <v>420</v>
      </c>
      <c r="D114" s="230" t="s">
        <v>421</v>
      </c>
      <c r="E114" s="13" t="s">
        <v>422</v>
      </c>
      <c r="F114" s="13" t="s">
        <v>423</v>
      </c>
    </row>
    <row r="115" spans="1:61" ht="15.75" customHeight="1" x14ac:dyDescent="0.2">
      <c r="A115" s="231">
        <v>0</v>
      </c>
      <c r="B115" s="231">
        <v>0</v>
      </c>
      <c r="C115" s="231">
        <v>1</v>
      </c>
      <c r="D115" s="231">
        <v>0</v>
      </c>
      <c r="E115" s="231">
        <v>1</v>
      </c>
      <c r="F115" s="231">
        <v>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</row>
    <row r="116" spans="1:61" ht="15.75" customHeight="1" x14ac:dyDescent="0.2">
      <c r="A116" s="231">
        <v>1</v>
      </c>
      <c r="B116" s="231">
        <v>500</v>
      </c>
      <c r="C116" s="231">
        <v>1</v>
      </c>
      <c r="D116" s="231">
        <v>0</v>
      </c>
      <c r="E116" s="231">
        <v>1</v>
      </c>
      <c r="F116" s="231">
        <v>500</v>
      </c>
    </row>
    <row r="117" spans="1:61" ht="15.75" customHeight="1" x14ac:dyDescent="0.2">
      <c r="A117" s="231">
        <v>2</v>
      </c>
      <c r="B117" s="231">
        <v>1000</v>
      </c>
      <c r="C117" s="231">
        <v>1</v>
      </c>
      <c r="D117" s="231">
        <v>0</v>
      </c>
      <c r="E117" s="231">
        <v>2</v>
      </c>
      <c r="F117" s="231">
        <v>1000</v>
      </c>
    </row>
    <row r="118" spans="1:61" ht="15.75" customHeight="1" x14ac:dyDescent="0.2">
      <c r="A118" s="231">
        <v>3</v>
      </c>
      <c r="B118" s="231">
        <v>3000</v>
      </c>
      <c r="C118" s="231">
        <v>2</v>
      </c>
      <c r="D118" s="231">
        <v>0</v>
      </c>
      <c r="E118" s="231">
        <v>2</v>
      </c>
      <c r="F118" s="231">
        <v>2000</v>
      </c>
    </row>
    <row r="119" spans="1:61" ht="15.75" customHeight="1" x14ac:dyDescent="0.2">
      <c r="A119" s="231">
        <v>4</v>
      </c>
      <c r="B119" s="231">
        <v>6000</v>
      </c>
      <c r="C119" s="231">
        <v>2</v>
      </c>
      <c r="D119" s="231">
        <v>1</v>
      </c>
      <c r="E119" s="231">
        <v>3</v>
      </c>
      <c r="F119" s="231">
        <v>3000</v>
      </c>
    </row>
    <row r="120" spans="1:61" ht="15.75" customHeight="1" x14ac:dyDescent="0.2">
      <c r="A120" s="231">
        <v>5</v>
      </c>
      <c r="B120" s="231">
        <v>10000</v>
      </c>
      <c r="C120" s="231">
        <v>2</v>
      </c>
      <c r="D120" s="231">
        <v>1</v>
      </c>
      <c r="E120" s="231">
        <v>3</v>
      </c>
      <c r="F120" s="231">
        <v>4000</v>
      </c>
    </row>
    <row r="121" spans="1:61" ht="15.75" customHeight="1" x14ac:dyDescent="0.2">
      <c r="A121" s="231">
        <v>6</v>
      </c>
      <c r="B121" s="231">
        <v>15000</v>
      </c>
      <c r="C121" s="231">
        <v>3</v>
      </c>
      <c r="D121" s="231">
        <v>1</v>
      </c>
      <c r="E121" s="231">
        <v>4</v>
      </c>
      <c r="F121" s="231">
        <v>5000</v>
      </c>
    </row>
    <row r="122" spans="1:61" ht="15.75" customHeight="1" x14ac:dyDescent="0.2">
      <c r="A122" s="231">
        <v>7</v>
      </c>
      <c r="B122" s="231">
        <v>21000</v>
      </c>
      <c r="C122" s="231">
        <v>3</v>
      </c>
      <c r="D122" s="231">
        <v>1</v>
      </c>
      <c r="E122" s="231">
        <v>4</v>
      </c>
      <c r="F122" s="231">
        <v>6000</v>
      </c>
    </row>
    <row r="123" spans="1:61" ht="15.75" customHeight="1" x14ac:dyDescent="0.2">
      <c r="A123" s="231">
        <v>8</v>
      </c>
      <c r="B123" s="231">
        <v>28000</v>
      </c>
      <c r="C123" s="231">
        <v>3</v>
      </c>
      <c r="D123" s="231">
        <v>2</v>
      </c>
      <c r="E123" s="231">
        <v>5</v>
      </c>
      <c r="F123" s="231">
        <v>7000</v>
      </c>
    </row>
    <row r="124" spans="1:61" ht="15.75" customHeight="1" x14ac:dyDescent="0.2">
      <c r="A124" s="231">
        <v>9</v>
      </c>
      <c r="B124" s="231">
        <v>36000</v>
      </c>
      <c r="C124" s="231">
        <v>4</v>
      </c>
      <c r="D124" s="231">
        <v>2</v>
      </c>
      <c r="E124" s="231">
        <v>5</v>
      </c>
      <c r="F124" s="231">
        <v>8000</v>
      </c>
    </row>
    <row r="125" spans="1:61" ht="15.75" customHeight="1" x14ac:dyDescent="0.2">
      <c r="A125" s="231">
        <v>10</v>
      </c>
      <c r="B125" s="231">
        <v>45000</v>
      </c>
      <c r="C125" s="231">
        <v>4</v>
      </c>
      <c r="D125" s="231">
        <v>2</v>
      </c>
      <c r="E125" s="231">
        <v>6</v>
      </c>
      <c r="F125" s="231">
        <v>9000</v>
      </c>
    </row>
    <row r="126" spans="1:61" ht="15.75" customHeight="1" x14ac:dyDescent="0.2">
      <c r="A126" s="231">
        <v>11</v>
      </c>
      <c r="B126" s="231">
        <v>55000</v>
      </c>
      <c r="C126" s="231">
        <v>4</v>
      </c>
      <c r="D126" s="231">
        <v>2</v>
      </c>
      <c r="E126" s="231">
        <v>6</v>
      </c>
      <c r="F126" s="231">
        <v>10000</v>
      </c>
    </row>
    <row r="127" spans="1:61" ht="15.75" customHeight="1" x14ac:dyDescent="0.2">
      <c r="A127" s="231">
        <v>12</v>
      </c>
      <c r="B127" s="231">
        <v>66000</v>
      </c>
      <c r="C127" s="231">
        <v>5</v>
      </c>
      <c r="D127" s="231">
        <v>3</v>
      </c>
      <c r="E127" s="231">
        <v>7</v>
      </c>
      <c r="F127" s="231">
        <v>11000</v>
      </c>
    </row>
    <row r="128" spans="1:61" ht="15.75" customHeight="1" x14ac:dyDescent="0.2">
      <c r="A128" s="231">
        <v>13</v>
      </c>
      <c r="B128" s="231">
        <v>78000</v>
      </c>
      <c r="C128" s="231">
        <v>5</v>
      </c>
      <c r="D128" s="231">
        <v>3</v>
      </c>
      <c r="E128" s="231">
        <v>7</v>
      </c>
      <c r="F128" s="231">
        <v>12000</v>
      </c>
    </row>
    <row r="129" spans="1:6" ht="15.75" customHeight="1" x14ac:dyDescent="0.2">
      <c r="A129" s="231">
        <v>14</v>
      </c>
      <c r="B129" s="231">
        <v>91000</v>
      </c>
      <c r="C129" s="231">
        <v>5</v>
      </c>
      <c r="D129" s="231">
        <v>3</v>
      </c>
      <c r="E129" s="231">
        <v>8</v>
      </c>
      <c r="F129" s="231">
        <v>13000</v>
      </c>
    </row>
    <row r="130" spans="1:6" ht="15.75" customHeight="1" x14ac:dyDescent="0.2">
      <c r="A130" s="231">
        <v>15</v>
      </c>
      <c r="B130" s="231">
        <v>105000</v>
      </c>
      <c r="C130" s="231">
        <v>6</v>
      </c>
      <c r="D130" s="231">
        <v>3</v>
      </c>
      <c r="E130" s="231">
        <v>8</v>
      </c>
      <c r="F130" s="231">
        <v>14000</v>
      </c>
    </row>
    <row r="131" spans="1:6" ht="15.75" customHeight="1" x14ac:dyDescent="0.2">
      <c r="A131" s="231">
        <v>16</v>
      </c>
      <c r="B131" s="231">
        <v>120000</v>
      </c>
      <c r="C131" s="231">
        <v>6</v>
      </c>
      <c r="D131" s="231">
        <v>4</v>
      </c>
      <c r="E131" s="231">
        <v>9</v>
      </c>
      <c r="F131" s="231">
        <v>15000</v>
      </c>
    </row>
    <row r="132" spans="1:6" ht="15.75" customHeight="1" x14ac:dyDescent="0.2">
      <c r="A132" s="231">
        <v>17</v>
      </c>
      <c r="B132" s="231">
        <v>136000</v>
      </c>
      <c r="C132" s="231">
        <v>6</v>
      </c>
      <c r="D132" s="231">
        <v>4</v>
      </c>
      <c r="E132" s="231">
        <v>9</v>
      </c>
      <c r="F132" s="231">
        <v>16000</v>
      </c>
    </row>
    <row r="133" spans="1:6" ht="15.75" customHeight="1" x14ac:dyDescent="0.2">
      <c r="A133" s="231">
        <v>18</v>
      </c>
      <c r="B133" s="231">
        <v>153000</v>
      </c>
      <c r="C133" s="231">
        <v>7</v>
      </c>
      <c r="D133" s="231">
        <v>4</v>
      </c>
      <c r="E133" s="231">
        <v>10</v>
      </c>
      <c r="F133" s="231">
        <v>17000</v>
      </c>
    </row>
    <row r="134" spans="1:6" ht="15.75" customHeight="1" x14ac:dyDescent="0.2">
      <c r="A134" s="231">
        <v>19</v>
      </c>
      <c r="B134" s="231">
        <v>171000</v>
      </c>
      <c r="C134" s="231">
        <v>7</v>
      </c>
      <c r="D134" s="231">
        <v>4</v>
      </c>
      <c r="E134" s="231">
        <v>10</v>
      </c>
      <c r="F134" s="231">
        <v>18000</v>
      </c>
    </row>
    <row r="135" spans="1:6" ht="15.75" customHeight="1" x14ac:dyDescent="0.2">
      <c r="A135" s="231">
        <v>20</v>
      </c>
      <c r="B135" s="231">
        <v>190000</v>
      </c>
      <c r="C135" s="231">
        <v>7</v>
      </c>
      <c r="D135" s="231">
        <v>5</v>
      </c>
      <c r="E135" s="231">
        <v>11</v>
      </c>
      <c r="F135" s="231">
        <v>19000</v>
      </c>
    </row>
    <row r="136" spans="1:6" ht="15.75" customHeight="1" x14ac:dyDescent="0.2">
      <c r="A136" s="231">
        <v>21</v>
      </c>
      <c r="B136" s="231">
        <v>210000</v>
      </c>
      <c r="C136" s="231">
        <v>8</v>
      </c>
      <c r="D136" s="231">
        <v>5</v>
      </c>
      <c r="E136" s="231">
        <v>11</v>
      </c>
      <c r="F136" s="231">
        <v>20000</v>
      </c>
    </row>
    <row r="137" spans="1:6" ht="15.75" customHeight="1" x14ac:dyDescent="0.2">
      <c r="A137" s="231">
        <v>22</v>
      </c>
      <c r="B137" s="231">
        <v>231000</v>
      </c>
      <c r="C137" s="231">
        <v>8</v>
      </c>
      <c r="D137" s="231">
        <v>5</v>
      </c>
      <c r="E137" s="231">
        <v>12</v>
      </c>
      <c r="F137" s="231">
        <v>21000</v>
      </c>
    </row>
    <row r="138" spans="1:6" ht="15.75" customHeight="1" x14ac:dyDescent="0.2">
      <c r="A138" s="231">
        <v>23</v>
      </c>
      <c r="B138" s="231">
        <v>253000</v>
      </c>
      <c r="C138" s="231">
        <v>8</v>
      </c>
      <c r="D138" s="231">
        <v>5</v>
      </c>
      <c r="E138" s="231">
        <v>12</v>
      </c>
      <c r="F138" s="231">
        <v>22000</v>
      </c>
    </row>
    <row r="139" spans="1:6" ht="15.75" customHeight="1" x14ac:dyDescent="0.2">
      <c r="A139" s="231">
        <v>24</v>
      </c>
      <c r="B139" s="231">
        <v>276000</v>
      </c>
      <c r="C139" s="231">
        <v>9</v>
      </c>
      <c r="D139" s="231">
        <v>6</v>
      </c>
      <c r="E139" s="231">
        <v>13</v>
      </c>
      <c r="F139" s="231">
        <v>23000</v>
      </c>
    </row>
    <row r="140" spans="1:6" ht="15.75" customHeight="1" x14ac:dyDescent="0.2">
      <c r="A140" s="231">
        <v>25</v>
      </c>
      <c r="B140" s="231">
        <v>300000</v>
      </c>
      <c r="C140" s="231">
        <v>9</v>
      </c>
      <c r="D140" s="231">
        <v>6</v>
      </c>
      <c r="E140" s="231">
        <v>13</v>
      </c>
      <c r="F140" s="231">
        <v>24000</v>
      </c>
    </row>
    <row r="141" spans="1:6" ht="15.75" customHeight="1" x14ac:dyDescent="0.2">
      <c r="A141" s="231">
        <v>26</v>
      </c>
      <c r="B141" s="231">
        <v>325000</v>
      </c>
      <c r="C141" s="231">
        <v>9</v>
      </c>
      <c r="D141" s="231">
        <v>6</v>
      </c>
      <c r="E141" s="231">
        <v>14</v>
      </c>
      <c r="F141" s="231">
        <v>25000</v>
      </c>
    </row>
    <row r="142" spans="1:6" ht="15.75" customHeight="1" x14ac:dyDescent="0.2">
      <c r="A142" s="231">
        <v>27</v>
      </c>
      <c r="B142" s="231">
        <v>351000</v>
      </c>
      <c r="C142" s="231">
        <v>10</v>
      </c>
      <c r="D142" s="231">
        <v>6</v>
      </c>
      <c r="E142" s="231">
        <v>14</v>
      </c>
      <c r="F142" s="231">
        <v>26000</v>
      </c>
    </row>
    <row r="143" spans="1:6" ht="15.75" customHeight="1" x14ac:dyDescent="0.2">
      <c r="A143" s="231">
        <v>28</v>
      </c>
      <c r="B143" s="231">
        <v>378000</v>
      </c>
      <c r="C143" s="231">
        <v>10</v>
      </c>
      <c r="D143" s="231">
        <v>7</v>
      </c>
      <c r="E143" s="231">
        <v>15</v>
      </c>
      <c r="F143" s="231">
        <v>27000</v>
      </c>
    </row>
    <row r="144" spans="1:6" ht="15.75" customHeight="1" x14ac:dyDescent="0.2">
      <c r="A144" s="231">
        <v>29</v>
      </c>
      <c r="B144" s="231">
        <v>406000</v>
      </c>
      <c r="C144" s="231">
        <v>10</v>
      </c>
      <c r="D144" s="231">
        <v>7</v>
      </c>
      <c r="E144" s="231">
        <v>15</v>
      </c>
      <c r="F144" s="231">
        <v>28000</v>
      </c>
    </row>
    <row r="145" spans="1:61" ht="15.75" customHeight="1" x14ac:dyDescent="0.2">
      <c r="A145" s="231">
        <v>30</v>
      </c>
      <c r="B145" s="231">
        <v>435000</v>
      </c>
      <c r="C145" s="231">
        <v>11</v>
      </c>
      <c r="D145" s="231">
        <v>7</v>
      </c>
      <c r="E145" s="231">
        <v>16</v>
      </c>
      <c r="F145" s="231">
        <v>29000</v>
      </c>
    </row>
    <row r="146" spans="1:61" ht="15.75" customHeight="1" x14ac:dyDescent="0.2">
      <c r="A146" s="231">
        <v>31</v>
      </c>
      <c r="B146" s="231">
        <v>465000</v>
      </c>
      <c r="C146" s="231">
        <v>11</v>
      </c>
      <c r="D146" s="231">
        <v>7</v>
      </c>
      <c r="E146" s="231">
        <v>16</v>
      </c>
      <c r="F146" s="231">
        <v>30000</v>
      </c>
    </row>
    <row r="147" spans="1:61" ht="15.75" customHeight="1" x14ac:dyDescent="0.2">
      <c r="A147" s="231">
        <v>32</v>
      </c>
      <c r="B147" s="231">
        <v>496000</v>
      </c>
      <c r="C147" s="231">
        <v>11</v>
      </c>
      <c r="D147" s="231">
        <v>8</v>
      </c>
      <c r="E147" s="231">
        <v>17</v>
      </c>
      <c r="F147" s="231">
        <v>31000</v>
      </c>
    </row>
    <row r="148" spans="1:61" ht="15.75" customHeight="1" x14ac:dyDescent="0.2">
      <c r="A148" s="231">
        <v>33</v>
      </c>
      <c r="B148" s="231">
        <v>528000</v>
      </c>
      <c r="C148" s="231">
        <v>12</v>
      </c>
      <c r="D148" s="231">
        <v>8</v>
      </c>
      <c r="E148" s="231">
        <v>17</v>
      </c>
      <c r="F148" s="231">
        <v>32000</v>
      </c>
    </row>
    <row r="149" spans="1:61" ht="15.75" customHeight="1" x14ac:dyDescent="0.2">
      <c r="A149" s="231">
        <v>34</v>
      </c>
      <c r="B149" s="231">
        <v>561000</v>
      </c>
      <c r="C149" s="231">
        <v>12</v>
      </c>
      <c r="D149" s="231">
        <v>8</v>
      </c>
      <c r="E149" s="231">
        <v>18</v>
      </c>
      <c r="F149" s="231">
        <v>33000</v>
      </c>
    </row>
    <row r="150" spans="1:61" ht="15.75" customHeight="1" x14ac:dyDescent="0.2">
      <c r="A150" s="231">
        <v>35</v>
      </c>
      <c r="B150" s="231">
        <v>595000</v>
      </c>
      <c r="C150" s="231">
        <v>12</v>
      </c>
      <c r="D150" s="231">
        <v>8</v>
      </c>
      <c r="E150" s="231">
        <v>18</v>
      </c>
      <c r="F150" s="231">
        <v>34000</v>
      </c>
    </row>
    <row r="151" spans="1:61" ht="15.75" customHeight="1" x14ac:dyDescent="0.2">
      <c r="A151" s="231">
        <v>36</v>
      </c>
      <c r="B151" s="231">
        <v>630000</v>
      </c>
      <c r="C151" s="231">
        <v>13</v>
      </c>
      <c r="D151" s="231">
        <v>9</v>
      </c>
      <c r="E151" s="231">
        <v>19</v>
      </c>
      <c r="F151" s="231">
        <v>35000</v>
      </c>
    </row>
    <row r="152" spans="1:61" ht="15.75" customHeight="1" x14ac:dyDescent="0.2">
      <c r="A152" s="231">
        <v>37</v>
      </c>
      <c r="B152" s="231">
        <v>666000</v>
      </c>
      <c r="C152" s="231">
        <v>13</v>
      </c>
      <c r="D152" s="231">
        <v>9</v>
      </c>
      <c r="E152" s="231">
        <v>19</v>
      </c>
      <c r="F152" s="231">
        <v>36000</v>
      </c>
    </row>
    <row r="153" spans="1:61" ht="15.75" customHeight="1" x14ac:dyDescent="0.2">
      <c r="A153" s="231">
        <v>38</v>
      </c>
      <c r="B153" s="231">
        <v>703000</v>
      </c>
      <c r="C153" s="231">
        <v>13</v>
      </c>
      <c r="D153" s="231">
        <v>9</v>
      </c>
      <c r="E153" s="231">
        <v>20</v>
      </c>
      <c r="F153" s="231">
        <v>37000</v>
      </c>
    </row>
    <row r="154" spans="1:61" ht="15.75" customHeight="1" x14ac:dyDescent="0.2">
      <c r="A154" s="231">
        <v>39</v>
      </c>
      <c r="B154" s="231">
        <v>741000</v>
      </c>
      <c r="C154" s="231">
        <v>14</v>
      </c>
      <c r="D154" s="231">
        <v>9</v>
      </c>
      <c r="E154" s="231">
        <v>20</v>
      </c>
      <c r="F154" s="231">
        <v>38000</v>
      </c>
    </row>
    <row r="155" spans="1:61" ht="15.75" customHeight="1" x14ac:dyDescent="0.2">
      <c r="A155" s="231">
        <v>40</v>
      </c>
      <c r="B155" s="231">
        <v>780000</v>
      </c>
      <c r="C155" s="231">
        <v>14</v>
      </c>
      <c r="D155" s="231">
        <v>10</v>
      </c>
      <c r="E155" s="231">
        <v>21</v>
      </c>
      <c r="F155" s="231">
        <v>39000</v>
      </c>
    </row>
    <row r="156" spans="1:61" ht="15.75" customHeight="1" x14ac:dyDescent="0.2">
      <c r="A156" s="231">
        <v>41</v>
      </c>
      <c r="B156" s="231">
        <f>B155+Tablas!$F156</f>
        <v>820000</v>
      </c>
      <c r="C156" s="231">
        <v>14</v>
      </c>
      <c r="D156" s="231">
        <v>10</v>
      </c>
      <c r="E156" s="231">
        <v>21</v>
      </c>
      <c r="F156" s="231">
        <v>40000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 spans="1:61" ht="15.75" customHeight="1" x14ac:dyDescent="0.2">
      <c r="A157" s="231">
        <v>42</v>
      </c>
      <c r="B157" s="231">
        <f>B156+Tablas!$F157</f>
        <v>861000</v>
      </c>
      <c r="C157" s="231">
        <v>15</v>
      </c>
      <c r="D157" s="231">
        <v>10</v>
      </c>
      <c r="E157" s="231">
        <v>22</v>
      </c>
      <c r="F157" s="231">
        <v>41000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</row>
    <row r="158" spans="1:61" ht="15.75" customHeight="1" x14ac:dyDescent="0.2">
      <c r="A158" s="231">
        <v>43</v>
      </c>
      <c r="B158" s="231">
        <f>B157+Tablas!$F158</f>
        <v>903000</v>
      </c>
      <c r="C158" s="231">
        <v>15</v>
      </c>
      <c r="D158" s="231">
        <v>10</v>
      </c>
      <c r="E158" s="231">
        <v>22</v>
      </c>
      <c r="F158" s="231">
        <v>42000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 spans="1:61" ht="15.75" customHeight="1" x14ac:dyDescent="0.2">
      <c r="A159" s="231">
        <v>44</v>
      </c>
      <c r="B159" s="231">
        <f>B158+Tablas!$F159</f>
        <v>946000</v>
      </c>
      <c r="C159" s="231">
        <v>15</v>
      </c>
      <c r="D159" s="231">
        <v>11</v>
      </c>
      <c r="E159" s="231">
        <v>23</v>
      </c>
      <c r="F159" s="231">
        <v>43000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</row>
    <row r="160" spans="1:61" ht="15.75" customHeight="1" x14ac:dyDescent="0.2">
      <c r="A160" s="231">
        <v>45</v>
      </c>
      <c r="B160" s="231">
        <f>B159+Tablas!$F160</f>
        <v>990000</v>
      </c>
      <c r="C160" s="231">
        <v>16</v>
      </c>
      <c r="D160" s="231">
        <v>11</v>
      </c>
      <c r="E160" s="231">
        <v>23</v>
      </c>
      <c r="F160" s="231">
        <v>44000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 spans="1:61" ht="15.75" customHeight="1" x14ac:dyDescent="0.2">
      <c r="A161" s="231">
        <v>46</v>
      </c>
      <c r="B161" s="231">
        <f>B160+Tablas!$F161</f>
        <v>1035000</v>
      </c>
      <c r="C161" s="231">
        <v>16</v>
      </c>
      <c r="D161" s="231">
        <v>11</v>
      </c>
      <c r="E161" s="231">
        <v>24</v>
      </c>
      <c r="F161" s="231">
        <v>45000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</row>
    <row r="162" spans="1:61" ht="15.75" customHeight="1" x14ac:dyDescent="0.2">
      <c r="A162" s="231">
        <v>47</v>
      </c>
      <c r="B162" s="231">
        <f>B161+Tablas!$F162</f>
        <v>1081000</v>
      </c>
      <c r="C162" s="231">
        <v>16</v>
      </c>
      <c r="D162" s="231">
        <v>11</v>
      </c>
      <c r="E162" s="231">
        <v>24</v>
      </c>
      <c r="F162" s="231">
        <v>46000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 spans="1:61" ht="15.75" customHeight="1" x14ac:dyDescent="0.2">
      <c r="A163" s="231">
        <v>48</v>
      </c>
      <c r="B163" s="231">
        <f>B162+Tablas!$F163</f>
        <v>1128000</v>
      </c>
      <c r="C163" s="231">
        <v>17</v>
      </c>
      <c r="D163" s="231">
        <v>12</v>
      </c>
      <c r="E163" s="231">
        <v>25</v>
      </c>
      <c r="F163" s="231">
        <v>47000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</row>
    <row r="164" spans="1:61" ht="15.75" customHeight="1" x14ac:dyDescent="0.2">
      <c r="A164" s="231">
        <v>49</v>
      </c>
      <c r="B164" s="231">
        <f>B163+Tablas!$F164</f>
        <v>1176000</v>
      </c>
      <c r="C164" s="231">
        <v>17</v>
      </c>
      <c r="D164" s="231">
        <v>12</v>
      </c>
      <c r="E164" s="231">
        <v>25</v>
      </c>
      <c r="F164" s="231">
        <v>48000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 spans="1:61" ht="15.75" customHeight="1" x14ac:dyDescent="0.2">
      <c r="A165" s="231">
        <v>50</v>
      </c>
      <c r="B165" s="231">
        <f>B164+Tablas!$F165</f>
        <v>1225000</v>
      </c>
      <c r="C165" s="231">
        <v>17</v>
      </c>
      <c r="D165" s="231">
        <v>12</v>
      </c>
      <c r="E165" s="231">
        <v>26</v>
      </c>
      <c r="F165" s="231">
        <v>49000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</row>
    <row r="166" spans="1:61" ht="15.75" customHeight="1" x14ac:dyDescent="0.2">
      <c r="A166" s="231">
        <v>51</v>
      </c>
      <c r="B166" s="231">
        <f>B165+Tablas!$F166</f>
        <v>1275000</v>
      </c>
      <c r="C166" s="231">
        <v>18</v>
      </c>
      <c r="D166" s="231">
        <v>12</v>
      </c>
      <c r="E166" s="231">
        <v>26</v>
      </c>
      <c r="F166" s="231">
        <v>50000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 spans="1:61" ht="15.75" customHeight="1" x14ac:dyDescent="0.2">
      <c r="A167" s="231">
        <v>52</v>
      </c>
      <c r="B167" s="231">
        <f>B166+Tablas!$F167</f>
        <v>1326000</v>
      </c>
      <c r="C167" s="231">
        <v>18</v>
      </c>
      <c r="D167" s="231">
        <v>13</v>
      </c>
      <c r="E167" s="231">
        <v>27</v>
      </c>
      <c r="F167" s="231">
        <v>51000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</row>
    <row r="168" spans="1:61" ht="15.75" customHeight="1" x14ac:dyDescent="0.2">
      <c r="A168" s="231">
        <v>53</v>
      </c>
      <c r="B168" s="231">
        <f>B167+Tablas!$F168</f>
        <v>1378000</v>
      </c>
      <c r="C168" s="231">
        <v>18</v>
      </c>
      <c r="D168" s="231">
        <v>13</v>
      </c>
      <c r="E168" s="231">
        <v>27</v>
      </c>
      <c r="F168" s="231">
        <v>52000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 spans="1:61" ht="15.75" customHeight="1" x14ac:dyDescent="0.2">
      <c r="A169" s="231">
        <v>54</v>
      </c>
      <c r="B169" s="231">
        <f>B168+Tablas!$F169</f>
        <v>1431000</v>
      </c>
      <c r="C169" s="231">
        <v>19</v>
      </c>
      <c r="D169" s="231">
        <v>13</v>
      </c>
      <c r="E169" s="231">
        <v>28</v>
      </c>
      <c r="F169" s="231">
        <v>53000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</row>
    <row r="170" spans="1:61" ht="15.75" customHeight="1" x14ac:dyDescent="0.2">
      <c r="A170" s="231">
        <v>55</v>
      </c>
      <c r="B170" s="231">
        <f>B169+Tablas!$F170</f>
        <v>1485000</v>
      </c>
      <c r="C170" s="231">
        <v>19</v>
      </c>
      <c r="D170" s="231">
        <v>13</v>
      </c>
      <c r="E170" s="231">
        <v>28</v>
      </c>
      <c r="F170" s="231">
        <v>54000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71" spans="1:61" ht="15.75" customHeight="1" x14ac:dyDescent="0.2">
      <c r="A171" s="231">
        <v>56</v>
      </c>
      <c r="B171" s="231">
        <f>B170+Tablas!$F171</f>
        <v>1540000</v>
      </c>
      <c r="C171" s="231">
        <v>19</v>
      </c>
      <c r="D171" s="231">
        <v>14</v>
      </c>
      <c r="E171" s="231">
        <v>29</v>
      </c>
      <c r="F171" s="231">
        <v>55000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</row>
    <row r="172" spans="1:61" ht="15.75" customHeight="1" x14ac:dyDescent="0.2">
      <c r="A172" s="231">
        <v>57</v>
      </c>
      <c r="B172" s="231">
        <f>B171+Tablas!$F172</f>
        <v>1596000</v>
      </c>
      <c r="C172" s="231">
        <v>20</v>
      </c>
      <c r="D172" s="231">
        <v>14</v>
      </c>
      <c r="E172" s="231">
        <v>29</v>
      </c>
      <c r="F172" s="231">
        <v>56000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</row>
    <row r="173" spans="1:61" ht="15.75" customHeight="1" x14ac:dyDescent="0.2">
      <c r="A173" s="231">
        <v>58</v>
      </c>
      <c r="B173" s="231">
        <f>B172+Tablas!$F173</f>
        <v>1653000</v>
      </c>
      <c r="C173" s="231">
        <v>20</v>
      </c>
      <c r="D173" s="231">
        <v>14</v>
      </c>
      <c r="E173" s="231">
        <v>30</v>
      </c>
      <c r="F173" s="231">
        <v>57000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</row>
    <row r="174" spans="1:61" ht="15.75" customHeight="1" x14ac:dyDescent="0.2">
      <c r="A174" s="231">
        <v>59</v>
      </c>
      <c r="B174" s="231">
        <f>B173+Tablas!$F174</f>
        <v>1711000</v>
      </c>
      <c r="C174" s="231">
        <v>20</v>
      </c>
      <c r="D174" s="231">
        <v>14</v>
      </c>
      <c r="E174" s="231">
        <v>30</v>
      </c>
      <c r="F174" s="231">
        <v>58000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</row>
    <row r="175" spans="1:61" ht="15.75" customHeight="1" x14ac:dyDescent="0.2">
      <c r="A175" s="231">
        <v>60</v>
      </c>
      <c r="B175" s="231">
        <f>B174+Tablas!$F175</f>
        <v>1770000</v>
      </c>
      <c r="C175" s="231">
        <v>21</v>
      </c>
      <c r="D175" s="231">
        <v>15</v>
      </c>
      <c r="E175" s="231">
        <v>31</v>
      </c>
      <c r="F175" s="231">
        <v>59000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</row>
    <row r="176" spans="1:61" ht="15.75" customHeight="1" x14ac:dyDescent="0.2">
      <c r="A176" s="231">
        <v>61</v>
      </c>
      <c r="B176" s="231">
        <f>B175+Tablas!$F176</f>
        <v>1830000</v>
      </c>
      <c r="C176" s="231">
        <v>21</v>
      </c>
      <c r="D176" s="231">
        <v>15</v>
      </c>
      <c r="E176" s="231">
        <v>31</v>
      </c>
      <c r="F176" s="231">
        <v>60000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</row>
    <row r="177" spans="1:61" ht="15.75" customHeight="1" x14ac:dyDescent="0.2">
      <c r="A177" s="231">
        <v>62</v>
      </c>
      <c r="B177" s="231">
        <f>B176+Tablas!$F177</f>
        <v>1891000</v>
      </c>
      <c r="C177" s="231">
        <v>21</v>
      </c>
      <c r="D177" s="231">
        <v>15</v>
      </c>
      <c r="E177" s="231">
        <v>32</v>
      </c>
      <c r="F177" s="231">
        <v>61000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</row>
    <row r="178" spans="1:61" ht="15.75" customHeight="1" x14ac:dyDescent="0.2">
      <c r="A178" s="231">
        <v>63</v>
      </c>
      <c r="B178" s="231">
        <f>B177+Tablas!$F178</f>
        <v>1953000</v>
      </c>
      <c r="C178" s="231">
        <v>22</v>
      </c>
      <c r="D178" s="231">
        <v>15</v>
      </c>
      <c r="E178" s="231">
        <v>32</v>
      </c>
      <c r="F178" s="231">
        <v>62000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</row>
    <row r="179" spans="1:61" ht="15.75" customHeight="1" x14ac:dyDescent="0.2">
      <c r="A179" s="231">
        <v>64</v>
      </c>
      <c r="B179" s="231">
        <f>B178+Tablas!$F179</f>
        <v>2016000</v>
      </c>
      <c r="C179" s="231">
        <v>22</v>
      </c>
      <c r="D179" s="231">
        <v>16</v>
      </c>
      <c r="E179" s="231">
        <v>33</v>
      </c>
      <c r="F179" s="231">
        <v>63000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</row>
    <row r="180" spans="1:61" ht="15.75" customHeight="1" x14ac:dyDescent="0.2">
      <c r="A180" s="231">
        <v>65</v>
      </c>
      <c r="B180" s="231">
        <f>B179+Tablas!$F180</f>
        <v>2080000</v>
      </c>
      <c r="C180" s="231">
        <v>22</v>
      </c>
      <c r="D180" s="231">
        <v>16</v>
      </c>
      <c r="E180" s="231">
        <v>33</v>
      </c>
      <c r="F180" s="231">
        <v>64000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</row>
    <row r="181" spans="1:61" ht="15.75" customHeight="1" x14ac:dyDescent="0.2">
      <c r="A181" s="231">
        <v>66</v>
      </c>
      <c r="B181" s="231">
        <f>B180+Tablas!$F181</f>
        <v>2145000</v>
      </c>
      <c r="C181" s="231">
        <v>23</v>
      </c>
      <c r="D181" s="231">
        <v>16</v>
      </c>
      <c r="E181" s="231">
        <v>34</v>
      </c>
      <c r="F181" s="231">
        <v>65000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</row>
    <row r="182" spans="1:61" ht="15.75" customHeight="1" x14ac:dyDescent="0.2">
      <c r="A182" s="231">
        <v>67</v>
      </c>
      <c r="B182" s="231">
        <f>B181+Tablas!$F182</f>
        <v>2211000</v>
      </c>
      <c r="C182" s="231">
        <v>23</v>
      </c>
      <c r="D182" s="231">
        <v>16</v>
      </c>
      <c r="E182" s="231">
        <v>34</v>
      </c>
      <c r="F182" s="231">
        <v>66000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</row>
    <row r="183" spans="1:61" ht="15.75" customHeight="1" x14ac:dyDescent="0.2">
      <c r="A183" s="231">
        <v>68</v>
      </c>
      <c r="B183" s="231">
        <f>B182+Tablas!$F183</f>
        <v>2278000</v>
      </c>
      <c r="C183" s="231">
        <v>23</v>
      </c>
      <c r="D183" s="231">
        <v>17</v>
      </c>
      <c r="E183" s="231">
        <v>35</v>
      </c>
      <c r="F183" s="231">
        <v>67000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</row>
    <row r="184" spans="1:61" ht="15.75" customHeight="1" x14ac:dyDescent="0.2">
      <c r="A184" s="231">
        <v>69</v>
      </c>
      <c r="B184" s="231">
        <f>B183+Tablas!$F184</f>
        <v>2346000</v>
      </c>
      <c r="C184" s="231">
        <v>24</v>
      </c>
      <c r="D184" s="231">
        <v>17</v>
      </c>
      <c r="E184" s="231">
        <v>35</v>
      </c>
      <c r="F184" s="231">
        <v>68000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</row>
    <row r="185" spans="1:61" ht="15.75" customHeight="1" x14ac:dyDescent="0.2">
      <c r="A185" s="231">
        <v>70</v>
      </c>
      <c r="B185" s="231">
        <f>B184+Tablas!$F185</f>
        <v>2415000</v>
      </c>
      <c r="C185" s="231">
        <v>24</v>
      </c>
      <c r="D185" s="231">
        <v>17</v>
      </c>
      <c r="E185" s="231">
        <v>36</v>
      </c>
      <c r="F185" s="231">
        <v>69000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</row>
    <row r="186" spans="1:61" ht="15.75" customHeight="1" x14ac:dyDescent="0.2">
      <c r="A186" s="231">
        <v>71</v>
      </c>
      <c r="B186" s="231">
        <f>B185+Tablas!$F186</f>
        <v>2485000</v>
      </c>
      <c r="C186" s="231">
        <v>24</v>
      </c>
      <c r="D186" s="231">
        <v>17</v>
      </c>
      <c r="E186" s="231">
        <v>36</v>
      </c>
      <c r="F186" s="231">
        <v>70000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</row>
    <row r="187" spans="1:61" ht="15.75" customHeight="1" x14ac:dyDescent="0.2">
      <c r="A187" s="231">
        <v>72</v>
      </c>
      <c r="B187" s="231">
        <f>B186+Tablas!$F187</f>
        <v>2556000</v>
      </c>
      <c r="C187" s="231">
        <v>25</v>
      </c>
      <c r="D187" s="231">
        <v>18</v>
      </c>
      <c r="E187" s="231">
        <v>37</v>
      </c>
      <c r="F187" s="231">
        <v>71000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</row>
    <row r="188" spans="1:61" ht="15.75" customHeight="1" x14ac:dyDescent="0.2">
      <c r="A188" s="231">
        <v>73</v>
      </c>
      <c r="B188" s="231">
        <f>B187+Tablas!$F188</f>
        <v>2628000</v>
      </c>
      <c r="C188" s="231">
        <v>25</v>
      </c>
      <c r="D188" s="231">
        <v>18</v>
      </c>
      <c r="E188" s="231">
        <v>37</v>
      </c>
      <c r="F188" s="231">
        <v>72000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</row>
    <row r="189" spans="1:61" ht="15.75" customHeight="1" x14ac:dyDescent="0.2">
      <c r="A189" s="231">
        <v>74</v>
      </c>
      <c r="B189" s="231">
        <f>B188+Tablas!$F189</f>
        <v>2701000</v>
      </c>
      <c r="C189" s="231">
        <v>25</v>
      </c>
      <c r="D189" s="231">
        <v>18</v>
      </c>
      <c r="E189" s="231">
        <v>38</v>
      </c>
      <c r="F189" s="231">
        <v>73000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</row>
    <row r="190" spans="1:61" ht="15.75" customHeight="1" x14ac:dyDescent="0.2">
      <c r="A190" s="231">
        <v>75</v>
      </c>
      <c r="B190" s="231">
        <f>B189+Tablas!$F190</f>
        <v>2775000</v>
      </c>
      <c r="C190" s="231">
        <v>26</v>
      </c>
      <c r="D190" s="231">
        <v>18</v>
      </c>
      <c r="E190" s="231">
        <v>38</v>
      </c>
      <c r="F190" s="231">
        <v>74000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</row>
    <row r="191" spans="1:61" ht="15.75" customHeight="1" x14ac:dyDescent="0.2">
      <c r="A191" s="231">
        <v>76</v>
      </c>
      <c r="B191" s="231">
        <f>B190+Tablas!$F191</f>
        <v>2850000</v>
      </c>
      <c r="C191" s="231">
        <v>26</v>
      </c>
      <c r="D191" s="231">
        <v>19</v>
      </c>
      <c r="E191" s="231">
        <v>39</v>
      </c>
      <c r="F191" s="231">
        <v>75000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</row>
    <row r="192" spans="1:61" ht="15.75" customHeight="1" x14ac:dyDescent="0.2">
      <c r="A192" s="231">
        <v>77</v>
      </c>
      <c r="B192" s="231">
        <f>B191+Tablas!$F192</f>
        <v>2926000</v>
      </c>
      <c r="C192" s="231">
        <v>26</v>
      </c>
      <c r="D192" s="231">
        <v>19</v>
      </c>
      <c r="E192" s="231">
        <v>39</v>
      </c>
      <c r="F192" s="231">
        <v>76000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</row>
    <row r="193" spans="1:61" ht="15.75" customHeight="1" x14ac:dyDescent="0.2">
      <c r="A193" s="231">
        <v>78</v>
      </c>
      <c r="B193" s="231">
        <f>B192+Tablas!$F193</f>
        <v>3003000</v>
      </c>
      <c r="C193" s="231">
        <v>27</v>
      </c>
      <c r="D193" s="231">
        <v>19</v>
      </c>
      <c r="E193" s="231">
        <v>40</v>
      </c>
      <c r="F193" s="231">
        <v>77000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</row>
    <row r="194" spans="1:61" ht="15.75" customHeight="1" x14ac:dyDescent="0.2">
      <c r="A194" s="231">
        <v>79</v>
      </c>
      <c r="B194" s="231">
        <f>B193+Tablas!$F194</f>
        <v>3081000</v>
      </c>
      <c r="C194" s="231">
        <v>27</v>
      </c>
      <c r="D194" s="231">
        <v>19</v>
      </c>
      <c r="E194" s="231">
        <v>40</v>
      </c>
      <c r="F194" s="231">
        <v>78000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</row>
    <row r="195" spans="1:61" ht="15.75" customHeight="1" x14ac:dyDescent="0.2">
      <c r="A195" s="231">
        <v>80</v>
      </c>
      <c r="B195" s="231">
        <f>B194+Tablas!$F195</f>
        <v>3160000</v>
      </c>
      <c r="C195" s="231">
        <v>27</v>
      </c>
      <c r="D195" s="231">
        <v>20</v>
      </c>
      <c r="E195" s="231">
        <v>41</v>
      </c>
      <c r="F195" s="231">
        <v>79000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</row>
    <row r="196" spans="1:61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</row>
    <row r="197" spans="1:61" ht="12.75" customHeight="1" x14ac:dyDescent="0.2"/>
    <row r="198" spans="1:61" ht="12.75" customHeight="1" x14ac:dyDescent="0.2"/>
    <row r="199" spans="1:61" ht="15.75" customHeight="1" x14ac:dyDescent="0.2">
      <c r="A199" s="451" t="s">
        <v>424</v>
      </c>
      <c r="B199" s="307"/>
      <c r="D199" s="232" t="s">
        <v>109</v>
      </c>
      <c r="E199" s="232" t="s">
        <v>92</v>
      </c>
      <c r="F199" s="232" t="s">
        <v>88</v>
      </c>
      <c r="G199" s="232" t="s">
        <v>425</v>
      </c>
      <c r="H199" s="232" t="s">
        <v>96</v>
      </c>
      <c r="I199" s="232" t="s">
        <v>426</v>
      </c>
    </row>
    <row r="200" spans="1:61" ht="12.75" customHeight="1" x14ac:dyDescent="0.2">
      <c r="A200" s="233" t="s">
        <v>427</v>
      </c>
      <c r="B200" s="233" t="s">
        <v>428</v>
      </c>
      <c r="C200" s="13"/>
      <c r="D200" s="114">
        <f>STR_MOD</f>
        <v>0</v>
      </c>
      <c r="E200" s="114">
        <f>DEX_MOD</f>
        <v>0</v>
      </c>
      <c r="F200" s="114">
        <f>CON_MOD</f>
        <v>0</v>
      </c>
      <c r="G200" s="114">
        <f>INT_MOD</f>
        <v>0</v>
      </c>
      <c r="H200" s="114">
        <f>WIS_MOD</f>
        <v>0</v>
      </c>
      <c r="I200" s="114">
        <f>CHA_MOD</f>
        <v>0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</row>
    <row r="201" spans="1:61" ht="15.75" customHeight="1" x14ac:dyDescent="0.2">
      <c r="A201" s="13">
        <v>0</v>
      </c>
      <c r="B201" s="13">
        <f>LVL-4</f>
        <v>-4</v>
      </c>
      <c r="D201" s="13"/>
      <c r="E201" s="13"/>
      <c r="F201" s="13"/>
      <c r="G201" s="13"/>
      <c r="H201" s="13"/>
      <c r="I201" s="13"/>
    </row>
    <row r="202" spans="1:61" ht="15.75" customHeight="1" x14ac:dyDescent="0.2">
      <c r="A202" s="13">
        <v>1</v>
      </c>
      <c r="B202" s="13">
        <f>LVL-3</f>
        <v>-3</v>
      </c>
      <c r="D202" s="13"/>
      <c r="E202" s="13"/>
      <c r="F202" s="13"/>
      <c r="G202" s="13"/>
      <c r="H202" s="13"/>
      <c r="I202" s="13"/>
    </row>
    <row r="203" spans="1:61" ht="15.75" customHeight="1" x14ac:dyDescent="0.2">
      <c r="A203" s="13">
        <v>2</v>
      </c>
      <c r="B203" s="13">
        <f>LVL-3</f>
        <v>-3</v>
      </c>
      <c r="D203" s="13"/>
      <c r="E203" s="13"/>
      <c r="F203" s="13"/>
      <c r="G203" s="13"/>
      <c r="H203" s="13"/>
      <c r="I203" s="13"/>
    </row>
    <row r="204" spans="1:61" ht="15.75" customHeight="1" x14ac:dyDescent="0.2">
      <c r="A204" s="13">
        <v>3</v>
      </c>
      <c r="B204" s="13">
        <f>LVL-3</f>
        <v>-3</v>
      </c>
      <c r="D204" s="13"/>
      <c r="E204" s="13"/>
      <c r="F204" s="13"/>
      <c r="G204" s="13"/>
      <c r="H204" s="13"/>
      <c r="I204" s="13"/>
    </row>
    <row r="205" spans="1:61" ht="15.75" customHeight="1" x14ac:dyDescent="0.2">
      <c r="A205" s="13">
        <v>4</v>
      </c>
      <c r="B205" s="13">
        <f>LVL-2</f>
        <v>-2</v>
      </c>
      <c r="D205" s="13"/>
      <c r="E205" s="13"/>
      <c r="F205" s="13"/>
      <c r="G205" s="13"/>
      <c r="H205" s="13"/>
      <c r="I205" s="13"/>
    </row>
    <row r="206" spans="1:61" ht="15.75" customHeight="1" x14ac:dyDescent="0.2">
      <c r="A206" s="13">
        <v>5</v>
      </c>
      <c r="B206" s="13">
        <f>LVL-2</f>
        <v>-2</v>
      </c>
    </row>
    <row r="207" spans="1:61" ht="15.75" customHeight="1" x14ac:dyDescent="0.2">
      <c r="A207" s="13">
        <v>6</v>
      </c>
      <c r="B207" s="13">
        <f>LVL-2</f>
        <v>-2</v>
      </c>
    </row>
    <row r="208" spans="1:61" ht="15.75" customHeight="1" x14ac:dyDescent="0.2">
      <c r="A208" s="13">
        <v>7</v>
      </c>
      <c r="B208" s="13">
        <f>LVL-1</f>
        <v>-1</v>
      </c>
    </row>
    <row r="209" spans="1:2" ht="15.75" customHeight="1" x14ac:dyDescent="0.2">
      <c r="A209" s="13">
        <v>8</v>
      </c>
      <c r="B209" s="13">
        <f>LVL-1</f>
        <v>-1</v>
      </c>
    </row>
    <row r="210" spans="1:2" ht="15.75" customHeight="1" x14ac:dyDescent="0.2">
      <c r="A210" s="13">
        <v>9</v>
      </c>
      <c r="B210" s="13">
        <f>LVL-1</f>
        <v>-1</v>
      </c>
    </row>
    <row r="211" spans="1:2" ht="15.75" customHeight="1" x14ac:dyDescent="0.2">
      <c r="A211" s="13">
        <v>10</v>
      </c>
      <c r="B211" s="13">
        <f>LVL</f>
        <v>0</v>
      </c>
    </row>
    <row r="212" spans="1:2" ht="15.75" customHeight="1" x14ac:dyDescent="0.2">
      <c r="A212" s="13">
        <v>11</v>
      </c>
      <c r="B212" s="13">
        <f>LVL</f>
        <v>0</v>
      </c>
    </row>
    <row r="213" spans="1:2" ht="15.75" customHeight="1" x14ac:dyDescent="0.2">
      <c r="A213" s="13">
        <v>12</v>
      </c>
      <c r="B213" s="13">
        <f>LVL</f>
        <v>0</v>
      </c>
    </row>
    <row r="214" spans="1:2" ht="15.75" customHeight="1" x14ac:dyDescent="0.2">
      <c r="A214" s="13">
        <v>13</v>
      </c>
      <c r="B214" s="13">
        <f>LVL+1</f>
        <v>1</v>
      </c>
    </row>
    <row r="215" spans="1:2" ht="15.75" customHeight="1" x14ac:dyDescent="0.2">
      <c r="A215" s="13">
        <v>14</v>
      </c>
      <c r="B215" s="13">
        <f>LVL+1</f>
        <v>1</v>
      </c>
    </row>
    <row r="216" spans="1:2" ht="15.75" customHeight="1" x14ac:dyDescent="0.2">
      <c r="A216" s="13">
        <v>15</v>
      </c>
      <c r="B216" s="13">
        <f>LVL+1</f>
        <v>1</v>
      </c>
    </row>
    <row r="217" spans="1:2" ht="15.75" customHeight="1" x14ac:dyDescent="0.2">
      <c r="A217" s="13">
        <v>16</v>
      </c>
      <c r="B217" s="13">
        <f>LVL+2</f>
        <v>2</v>
      </c>
    </row>
    <row r="218" spans="1:2" ht="15.75" customHeight="1" x14ac:dyDescent="0.2">
      <c r="A218" s="13">
        <v>17</v>
      </c>
      <c r="B218" s="13">
        <f>LVL+2</f>
        <v>2</v>
      </c>
    </row>
    <row r="219" spans="1:2" ht="15.75" customHeight="1" x14ac:dyDescent="0.2">
      <c r="A219" s="13">
        <v>18</v>
      </c>
      <c r="B219" s="13">
        <f>LVL+2</f>
        <v>2</v>
      </c>
    </row>
    <row r="220" spans="1:2" ht="15.75" customHeight="1" x14ac:dyDescent="0.2">
      <c r="A220" s="13">
        <v>19</v>
      </c>
      <c r="B220" s="13">
        <f>LVL+3</f>
        <v>3</v>
      </c>
    </row>
    <row r="221" spans="1:2" ht="15.75" customHeight="1" x14ac:dyDescent="0.2">
      <c r="A221" s="13">
        <v>20</v>
      </c>
      <c r="B221" s="13">
        <f>LVL+3</f>
        <v>3</v>
      </c>
    </row>
    <row r="222" spans="1:2" ht="15.75" customHeight="1" x14ac:dyDescent="0.2">
      <c r="A222" s="13">
        <v>21</v>
      </c>
      <c r="B222" s="13">
        <f>LVL+3</f>
        <v>3</v>
      </c>
    </row>
    <row r="223" spans="1:2" ht="15.75" customHeight="1" x14ac:dyDescent="0.2">
      <c r="A223" s="13">
        <v>22</v>
      </c>
      <c r="B223" s="13">
        <f>LVL+4</f>
        <v>4</v>
      </c>
    </row>
    <row r="224" spans="1:2" ht="15.75" customHeight="1" x14ac:dyDescent="0.2">
      <c r="A224" s="13">
        <v>23</v>
      </c>
      <c r="B224" s="13">
        <f>LVL+4</f>
        <v>4</v>
      </c>
    </row>
    <row r="225" spans="1:2" ht="15.75" customHeight="1" x14ac:dyDescent="0.2">
      <c r="A225" s="13">
        <v>24</v>
      </c>
      <c r="B225" s="13">
        <f>LVL+4</f>
        <v>4</v>
      </c>
    </row>
    <row r="226" spans="1:2" ht="15.75" customHeight="1" x14ac:dyDescent="0.2">
      <c r="A226" s="13">
        <v>25</v>
      </c>
      <c r="B226" s="13">
        <f>LVL+5</f>
        <v>5</v>
      </c>
    </row>
    <row r="227" spans="1:2" ht="15.75" customHeight="1" x14ac:dyDescent="0.2">
      <c r="A227" s="13">
        <v>26</v>
      </c>
      <c r="B227" s="13">
        <f>LVL+5</f>
        <v>5</v>
      </c>
    </row>
    <row r="228" spans="1:2" ht="15.75" customHeight="1" x14ac:dyDescent="0.2">
      <c r="A228" s="13">
        <v>27</v>
      </c>
      <c r="B228" s="13">
        <f>LVL+5</f>
        <v>5</v>
      </c>
    </row>
    <row r="229" spans="1:2" ht="15.75" customHeight="1" x14ac:dyDescent="0.2">
      <c r="A229" s="13">
        <v>28</v>
      </c>
      <c r="B229" s="13">
        <f>LVL+6</f>
        <v>6</v>
      </c>
    </row>
    <row r="230" spans="1:2" ht="15.75" customHeight="1" x14ac:dyDescent="0.2">
      <c r="A230" s="13">
        <v>29</v>
      </c>
      <c r="B230" s="13">
        <f>LVL+6</f>
        <v>6</v>
      </c>
    </row>
    <row r="231" spans="1:2" ht="15.75" customHeight="1" x14ac:dyDescent="0.2">
      <c r="A231" s="13">
        <v>30</v>
      </c>
      <c r="B231" s="13">
        <f>LVL+6</f>
        <v>6</v>
      </c>
    </row>
    <row r="232" spans="1:2" ht="12.75" customHeight="1" x14ac:dyDescent="0.2"/>
    <row r="233" spans="1:2" ht="15.75" customHeight="1" x14ac:dyDescent="0.2">
      <c r="A233" s="230" t="s">
        <v>178</v>
      </c>
      <c r="B233" s="230" t="s">
        <v>429</v>
      </c>
    </row>
    <row r="234" spans="1:2" ht="15.75" customHeight="1" x14ac:dyDescent="0.2">
      <c r="A234" s="234">
        <v>0</v>
      </c>
      <c r="B234" s="112">
        <v>-18</v>
      </c>
    </row>
    <row r="235" spans="1:2" ht="15.75" customHeight="1" x14ac:dyDescent="0.2">
      <c r="A235" s="234">
        <v>5</v>
      </c>
      <c r="B235" s="112">
        <v>-15</v>
      </c>
    </row>
    <row r="236" spans="1:2" ht="15.75" customHeight="1" x14ac:dyDescent="0.2">
      <c r="A236" s="234">
        <v>10</v>
      </c>
      <c r="B236" s="112">
        <v>-12</v>
      </c>
    </row>
    <row r="237" spans="1:2" ht="15.75" customHeight="1" x14ac:dyDescent="0.2">
      <c r="A237" s="234">
        <v>15</v>
      </c>
      <c r="B237" s="112">
        <v>-9</v>
      </c>
    </row>
    <row r="238" spans="1:2" ht="15.75" customHeight="1" x14ac:dyDescent="0.2">
      <c r="A238" s="234">
        <v>20</v>
      </c>
      <c r="B238" s="112">
        <v>-6</v>
      </c>
    </row>
    <row r="239" spans="1:2" ht="15.75" customHeight="1" x14ac:dyDescent="0.2">
      <c r="A239" s="234">
        <v>25</v>
      </c>
      <c r="B239" s="112">
        <v>-3</v>
      </c>
    </row>
    <row r="240" spans="1:2" ht="15.75" customHeight="1" x14ac:dyDescent="0.2">
      <c r="A240" s="234">
        <v>30</v>
      </c>
      <c r="B240" s="112">
        <v>0</v>
      </c>
    </row>
    <row r="241" spans="1:2" ht="15.75" customHeight="1" x14ac:dyDescent="0.2">
      <c r="A241" s="234">
        <v>35</v>
      </c>
      <c r="B241" s="112">
        <v>2</v>
      </c>
    </row>
    <row r="242" spans="1:2" ht="15.75" customHeight="1" x14ac:dyDescent="0.2">
      <c r="A242" s="234">
        <v>40</v>
      </c>
      <c r="B242" s="112">
        <v>4</v>
      </c>
    </row>
    <row r="243" spans="1:2" ht="15.75" customHeight="1" x14ac:dyDescent="0.2">
      <c r="A243" s="234">
        <v>45</v>
      </c>
      <c r="B243" s="112">
        <v>6</v>
      </c>
    </row>
    <row r="244" spans="1:2" ht="15.75" customHeight="1" x14ac:dyDescent="0.2">
      <c r="A244" s="234">
        <v>50</v>
      </c>
      <c r="B244" s="112">
        <v>8</v>
      </c>
    </row>
    <row r="245" spans="1:2" ht="15.75" customHeight="1" x14ac:dyDescent="0.2">
      <c r="A245" s="234">
        <v>55</v>
      </c>
      <c r="B245" s="112">
        <v>10</v>
      </c>
    </row>
    <row r="246" spans="1:2" ht="15.75" customHeight="1" x14ac:dyDescent="0.2">
      <c r="A246" s="234">
        <v>60</v>
      </c>
      <c r="B246" s="112">
        <v>12</v>
      </c>
    </row>
    <row r="247" spans="1:2" ht="15.75" customHeight="1" x14ac:dyDescent="0.2">
      <c r="A247" s="234">
        <v>65</v>
      </c>
      <c r="B247" s="112">
        <v>14</v>
      </c>
    </row>
    <row r="248" spans="1:2" ht="15.75" customHeight="1" x14ac:dyDescent="0.2">
      <c r="A248" s="234">
        <v>70</v>
      </c>
      <c r="B248" s="112">
        <v>16</v>
      </c>
    </row>
    <row r="249" spans="1:2" ht="15.75" customHeight="1" x14ac:dyDescent="0.2">
      <c r="A249" s="234">
        <v>75</v>
      </c>
      <c r="B249" s="112">
        <v>18</v>
      </c>
    </row>
    <row r="250" spans="1:2" ht="15.75" customHeight="1" x14ac:dyDescent="0.2">
      <c r="A250" s="234">
        <v>80</v>
      </c>
      <c r="B250" s="112">
        <v>20</v>
      </c>
    </row>
    <row r="251" spans="1:2" ht="15.75" customHeight="1" x14ac:dyDescent="0.2">
      <c r="A251" s="234">
        <v>85</v>
      </c>
      <c r="B251" s="112">
        <v>22</v>
      </c>
    </row>
    <row r="252" spans="1:2" ht="15.75" customHeight="1" x14ac:dyDescent="0.2">
      <c r="A252" s="234">
        <v>90</v>
      </c>
      <c r="B252" s="112">
        <v>24</v>
      </c>
    </row>
    <row r="253" spans="1:2" ht="15.75" customHeight="1" x14ac:dyDescent="0.2">
      <c r="A253" s="234">
        <v>95</v>
      </c>
      <c r="B253" s="112">
        <v>26</v>
      </c>
    </row>
    <row r="254" spans="1:2" ht="15.75" customHeight="1" x14ac:dyDescent="0.2">
      <c r="A254" s="234">
        <v>100</v>
      </c>
      <c r="B254" s="112">
        <v>28</v>
      </c>
    </row>
    <row r="255" spans="1:2" ht="15.75" customHeight="1" x14ac:dyDescent="0.2">
      <c r="A255" s="234">
        <v>105</v>
      </c>
      <c r="B255" s="112">
        <v>30</v>
      </c>
    </row>
    <row r="256" spans="1:2" ht="15.75" customHeight="1" x14ac:dyDescent="0.2">
      <c r="A256" s="234">
        <v>110</v>
      </c>
      <c r="B256" s="112">
        <v>32</v>
      </c>
    </row>
    <row r="257" spans="1:27" ht="15.75" customHeight="1" x14ac:dyDescent="0.2">
      <c r="A257" s="234">
        <v>115</v>
      </c>
      <c r="B257" s="112">
        <v>34</v>
      </c>
    </row>
    <row r="258" spans="1:27" ht="15.75" customHeight="1" x14ac:dyDescent="0.2">
      <c r="A258" s="234">
        <v>120</v>
      </c>
      <c r="B258" s="112">
        <v>36</v>
      </c>
    </row>
    <row r="259" spans="1:27" ht="15.75" customHeight="1" x14ac:dyDescent="0.2">
      <c r="A259" s="234">
        <v>125</v>
      </c>
      <c r="B259" s="112">
        <v>38</v>
      </c>
    </row>
    <row r="260" spans="1:27" ht="15.75" customHeight="1" x14ac:dyDescent="0.2">
      <c r="A260" s="234">
        <v>130</v>
      </c>
      <c r="B260" s="112">
        <v>40</v>
      </c>
    </row>
    <row r="261" spans="1:27" ht="12.75" customHeight="1" x14ac:dyDescent="0.2"/>
    <row r="262" spans="1:27" ht="15.75" customHeight="1" x14ac:dyDescent="0.2">
      <c r="A262" s="452" t="s">
        <v>430</v>
      </c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</row>
    <row r="263" spans="1:27" ht="15.75" customHeight="1" x14ac:dyDescent="0.2">
      <c r="A263" s="62" t="s">
        <v>431</v>
      </c>
      <c r="B263" s="62" t="s">
        <v>432</v>
      </c>
      <c r="C263" s="62"/>
      <c r="D263" s="62" t="s">
        <v>433</v>
      </c>
      <c r="E263" s="62" t="s">
        <v>432</v>
      </c>
      <c r="F263" s="62"/>
      <c r="G263" s="62" t="s">
        <v>434</v>
      </c>
      <c r="H263" s="62" t="s">
        <v>432</v>
      </c>
      <c r="I263" s="62"/>
      <c r="J263" s="62" t="s">
        <v>435</v>
      </c>
      <c r="K263" s="62" t="s">
        <v>432</v>
      </c>
      <c r="L263" s="62"/>
      <c r="M263" s="62" t="s">
        <v>436</v>
      </c>
      <c r="N263" s="62" t="s">
        <v>432</v>
      </c>
      <c r="O263" s="62"/>
      <c r="P263" s="62" t="s">
        <v>437</v>
      </c>
      <c r="Q263" s="62" t="s">
        <v>432</v>
      </c>
      <c r="R263" s="62"/>
      <c r="S263" s="62" t="s">
        <v>438</v>
      </c>
      <c r="T263" s="62" t="s">
        <v>432</v>
      </c>
      <c r="U263" s="62"/>
      <c r="V263" s="62" t="s">
        <v>439</v>
      </c>
      <c r="W263" s="62" t="s">
        <v>432</v>
      </c>
      <c r="X263" s="62"/>
      <c r="Y263" s="62" t="s">
        <v>440</v>
      </c>
      <c r="Z263" s="62" t="s">
        <v>432</v>
      </c>
      <c r="AA263" s="12"/>
    </row>
    <row r="264" spans="1:27" ht="15.75" customHeight="1" x14ac:dyDescent="0.2">
      <c r="A264" s="34">
        <v>-5</v>
      </c>
      <c r="B264" s="34">
        <v>0</v>
      </c>
      <c r="C264" s="34"/>
      <c r="D264" s="34">
        <v>-5</v>
      </c>
      <c r="E264" s="34">
        <v>0</v>
      </c>
      <c r="F264" s="34"/>
      <c r="G264" s="34">
        <v>-5</v>
      </c>
      <c r="H264" s="34">
        <v>0</v>
      </c>
      <c r="I264" s="34"/>
      <c r="J264" s="34">
        <v>-5</v>
      </c>
      <c r="K264" s="34">
        <v>0</v>
      </c>
      <c r="L264" s="34"/>
      <c r="M264" s="34">
        <v>-5</v>
      </c>
      <c r="N264" s="34">
        <v>0</v>
      </c>
      <c r="O264" s="34"/>
      <c r="P264" s="34">
        <v>-5</v>
      </c>
      <c r="Q264" s="34">
        <v>0</v>
      </c>
      <c r="R264" s="34"/>
      <c r="S264" s="34">
        <v>-5</v>
      </c>
      <c r="T264" s="34">
        <v>0</v>
      </c>
      <c r="U264" s="34"/>
      <c r="V264" s="34">
        <v>-5</v>
      </c>
      <c r="W264" s="34">
        <v>0</v>
      </c>
      <c r="X264" s="34"/>
      <c r="Y264" s="34">
        <v>-5</v>
      </c>
      <c r="Z264" s="34">
        <v>0</v>
      </c>
      <c r="AA264" s="34"/>
    </row>
    <row r="265" spans="1:27" ht="15.75" customHeight="1" x14ac:dyDescent="0.2">
      <c r="A265" s="34">
        <v>-4</v>
      </c>
      <c r="B265" s="34">
        <v>0</v>
      </c>
      <c r="C265" s="34"/>
      <c r="D265" s="34">
        <v>-4</v>
      </c>
      <c r="E265" s="34">
        <v>0</v>
      </c>
      <c r="F265" s="34"/>
      <c r="G265" s="34">
        <v>-4</v>
      </c>
      <c r="H265" s="34">
        <v>0</v>
      </c>
      <c r="I265" s="34"/>
      <c r="J265" s="34">
        <v>-4</v>
      </c>
      <c r="K265" s="34">
        <v>0</v>
      </c>
      <c r="L265" s="34"/>
      <c r="M265" s="34">
        <v>-4</v>
      </c>
      <c r="N265" s="34">
        <v>0</v>
      </c>
      <c r="O265" s="34"/>
      <c r="P265" s="34">
        <v>-4</v>
      </c>
      <c r="Q265" s="34">
        <v>0</v>
      </c>
      <c r="R265" s="34"/>
      <c r="S265" s="34">
        <v>-4</v>
      </c>
      <c r="T265" s="34">
        <v>0</v>
      </c>
      <c r="U265" s="34"/>
      <c r="V265" s="34">
        <v>-4</v>
      </c>
      <c r="W265" s="34">
        <v>0</v>
      </c>
      <c r="X265" s="34"/>
      <c r="Y265" s="34">
        <v>-4</v>
      </c>
      <c r="Z265" s="34">
        <v>0</v>
      </c>
      <c r="AA265" s="34"/>
    </row>
    <row r="266" spans="1:27" ht="15.75" customHeight="1" x14ac:dyDescent="0.2">
      <c r="A266" s="34">
        <v>-3</v>
      </c>
      <c r="B266" s="34">
        <v>0</v>
      </c>
      <c r="C266" s="34"/>
      <c r="D266" s="34">
        <v>-3</v>
      </c>
      <c r="E266" s="34">
        <v>0</v>
      </c>
      <c r="F266" s="34"/>
      <c r="G266" s="34">
        <v>-3</v>
      </c>
      <c r="H266" s="34">
        <v>0</v>
      </c>
      <c r="I266" s="34"/>
      <c r="J266" s="34">
        <v>-3</v>
      </c>
      <c r="K266" s="34">
        <v>0</v>
      </c>
      <c r="L266" s="34"/>
      <c r="M266" s="34">
        <v>-3</v>
      </c>
      <c r="N266" s="34">
        <v>0</v>
      </c>
      <c r="O266" s="34"/>
      <c r="P266" s="34">
        <v>-3</v>
      </c>
      <c r="Q266" s="34">
        <v>0</v>
      </c>
      <c r="R266" s="34"/>
      <c r="S266" s="34">
        <v>-3</v>
      </c>
      <c r="T266" s="34">
        <v>0</v>
      </c>
      <c r="U266" s="34"/>
      <c r="V266" s="34">
        <v>-3</v>
      </c>
      <c r="W266" s="34">
        <v>0</v>
      </c>
      <c r="X266" s="34"/>
      <c r="Y266" s="34">
        <v>-3</v>
      </c>
      <c r="Z266" s="34">
        <v>0</v>
      </c>
      <c r="AA266" s="34"/>
    </row>
    <row r="267" spans="1:27" ht="15.75" customHeight="1" x14ac:dyDescent="0.2">
      <c r="A267" s="34">
        <v>-2</v>
      </c>
      <c r="B267" s="34">
        <v>0</v>
      </c>
      <c r="C267" s="34"/>
      <c r="D267" s="34">
        <v>-2</v>
      </c>
      <c r="E267" s="34">
        <v>0</v>
      </c>
      <c r="F267" s="34"/>
      <c r="G267" s="34">
        <v>-2</v>
      </c>
      <c r="H267" s="34">
        <v>0</v>
      </c>
      <c r="I267" s="34"/>
      <c r="J267" s="34">
        <v>-2</v>
      </c>
      <c r="K267" s="34">
        <v>0</v>
      </c>
      <c r="L267" s="34"/>
      <c r="M267" s="34">
        <v>-2</v>
      </c>
      <c r="N267" s="34">
        <v>0</v>
      </c>
      <c r="O267" s="34"/>
      <c r="P267" s="34">
        <v>-2</v>
      </c>
      <c r="Q267" s="34">
        <v>0</v>
      </c>
      <c r="R267" s="34"/>
      <c r="S267" s="34">
        <v>-2</v>
      </c>
      <c r="T267" s="34">
        <v>0</v>
      </c>
      <c r="U267" s="34"/>
      <c r="V267" s="34">
        <v>-2</v>
      </c>
      <c r="W267" s="34">
        <v>0</v>
      </c>
      <c r="X267" s="34"/>
      <c r="Y267" s="34">
        <v>-2</v>
      </c>
      <c r="Z267" s="34">
        <v>0</v>
      </c>
      <c r="AA267" s="34"/>
    </row>
    <row r="268" spans="1:27" ht="15.75" customHeight="1" x14ac:dyDescent="0.2">
      <c r="A268" s="34">
        <v>-1</v>
      </c>
      <c r="B268" s="34">
        <v>0</v>
      </c>
      <c r="C268" s="34"/>
      <c r="D268" s="34">
        <v>-1</v>
      </c>
      <c r="E268" s="34">
        <v>0</v>
      </c>
      <c r="F268" s="34"/>
      <c r="G268" s="34">
        <v>-1</v>
      </c>
      <c r="H268" s="34">
        <v>0</v>
      </c>
      <c r="I268" s="34"/>
      <c r="J268" s="34">
        <v>-1</v>
      </c>
      <c r="K268" s="34">
        <v>0</v>
      </c>
      <c r="L268" s="34"/>
      <c r="M268" s="34">
        <v>-1</v>
      </c>
      <c r="N268" s="34">
        <v>0</v>
      </c>
      <c r="O268" s="34"/>
      <c r="P268" s="34">
        <v>-1</v>
      </c>
      <c r="Q268" s="34">
        <v>0</v>
      </c>
      <c r="R268" s="34"/>
      <c r="S268" s="34">
        <v>-1</v>
      </c>
      <c r="T268" s="34">
        <v>0</v>
      </c>
      <c r="U268" s="34"/>
      <c r="V268" s="34">
        <v>-1</v>
      </c>
      <c r="W268" s="34">
        <v>0</v>
      </c>
      <c r="X268" s="34"/>
      <c r="Y268" s="34">
        <v>-1</v>
      </c>
      <c r="Z268" s="34">
        <v>0</v>
      </c>
      <c r="AA268" s="34"/>
    </row>
    <row r="269" spans="1:27" ht="15.75" customHeight="1" x14ac:dyDescent="0.2">
      <c r="A269" s="34">
        <v>0</v>
      </c>
      <c r="B269" s="34">
        <v>0</v>
      </c>
      <c r="C269" s="34"/>
      <c r="D269" s="34">
        <v>0</v>
      </c>
      <c r="E269" s="34">
        <v>0</v>
      </c>
      <c r="F269" s="34"/>
      <c r="G269" s="34">
        <v>0</v>
      </c>
      <c r="H269" s="34">
        <v>0</v>
      </c>
      <c r="I269" s="34"/>
      <c r="J269" s="34">
        <v>0</v>
      </c>
      <c r="K269" s="34">
        <v>0</v>
      </c>
      <c r="L269" s="34"/>
      <c r="M269" s="34">
        <v>0</v>
      </c>
      <c r="N269" s="34">
        <v>0</v>
      </c>
      <c r="O269" s="34"/>
      <c r="P269" s="34">
        <v>0</v>
      </c>
      <c r="Q269" s="34">
        <v>0</v>
      </c>
      <c r="R269" s="34"/>
      <c r="S269" s="34">
        <v>0</v>
      </c>
      <c r="T269" s="34">
        <v>0</v>
      </c>
      <c r="U269" s="34"/>
      <c r="V269" s="34">
        <v>0</v>
      </c>
      <c r="W269" s="34">
        <v>0</v>
      </c>
      <c r="X269" s="34"/>
      <c r="Y269" s="34">
        <v>0</v>
      </c>
      <c r="Z269" s="34">
        <v>0</v>
      </c>
      <c r="AA269" s="34"/>
    </row>
    <row r="270" spans="1:27" ht="15.75" customHeight="1" x14ac:dyDescent="0.2">
      <c r="A270" s="34">
        <v>1</v>
      </c>
      <c r="B270" s="34">
        <v>1</v>
      </c>
      <c r="C270" s="34"/>
      <c r="D270" s="34">
        <v>1</v>
      </c>
      <c r="E270" s="34">
        <v>0</v>
      </c>
      <c r="F270" s="34"/>
      <c r="G270" s="34">
        <v>1</v>
      </c>
      <c r="H270" s="34">
        <v>0</v>
      </c>
      <c r="I270" s="34"/>
      <c r="J270" s="34">
        <v>1</v>
      </c>
      <c r="K270" s="34">
        <v>0</v>
      </c>
      <c r="L270" s="34"/>
      <c r="M270" s="34">
        <v>1</v>
      </c>
      <c r="N270" s="34">
        <v>0</v>
      </c>
      <c r="O270" s="34"/>
      <c r="P270" s="34">
        <v>1</v>
      </c>
      <c r="Q270" s="34">
        <v>0</v>
      </c>
      <c r="R270" s="34"/>
      <c r="S270" s="34">
        <v>1</v>
      </c>
      <c r="T270" s="34">
        <v>0</v>
      </c>
      <c r="U270" s="34"/>
      <c r="V270" s="34">
        <v>1</v>
      </c>
      <c r="W270" s="34">
        <v>0</v>
      </c>
      <c r="X270" s="34"/>
      <c r="Y270" s="34">
        <v>1</v>
      </c>
      <c r="Z270" s="34">
        <v>0</v>
      </c>
      <c r="AA270" s="34"/>
    </row>
    <row r="271" spans="1:27" ht="15.75" customHeight="1" x14ac:dyDescent="0.2">
      <c r="A271" s="34">
        <v>2</v>
      </c>
      <c r="B271" s="34">
        <v>1</v>
      </c>
      <c r="C271" s="34"/>
      <c r="D271" s="34">
        <v>2</v>
      </c>
      <c r="E271" s="34">
        <v>1</v>
      </c>
      <c r="F271" s="34"/>
      <c r="G271" s="34">
        <v>2</v>
      </c>
      <c r="H271" s="34">
        <v>0</v>
      </c>
      <c r="I271" s="34"/>
      <c r="J271" s="34">
        <v>2</v>
      </c>
      <c r="K271" s="34">
        <v>0</v>
      </c>
      <c r="L271" s="34"/>
      <c r="M271" s="34">
        <v>2</v>
      </c>
      <c r="N271" s="34">
        <v>0</v>
      </c>
      <c r="O271" s="34"/>
      <c r="P271" s="34">
        <v>2</v>
      </c>
      <c r="Q271" s="34">
        <v>0</v>
      </c>
      <c r="R271" s="34"/>
      <c r="S271" s="34">
        <v>2</v>
      </c>
      <c r="T271" s="34">
        <v>0</v>
      </c>
      <c r="U271" s="34"/>
      <c r="V271" s="34">
        <v>2</v>
      </c>
      <c r="W271" s="34">
        <v>0</v>
      </c>
      <c r="X271" s="34"/>
      <c r="Y271" s="34">
        <v>2</v>
      </c>
      <c r="Z271" s="34">
        <v>0</v>
      </c>
      <c r="AA271" s="34"/>
    </row>
    <row r="272" spans="1:27" ht="15.75" customHeight="1" x14ac:dyDescent="0.2">
      <c r="A272" s="34">
        <v>3</v>
      </c>
      <c r="B272" s="34">
        <v>1</v>
      </c>
      <c r="C272" s="34"/>
      <c r="D272" s="34">
        <v>3</v>
      </c>
      <c r="E272" s="34">
        <v>1</v>
      </c>
      <c r="F272" s="34"/>
      <c r="G272" s="34">
        <v>3</v>
      </c>
      <c r="H272" s="34">
        <v>1</v>
      </c>
      <c r="I272" s="34"/>
      <c r="J272" s="34">
        <v>3</v>
      </c>
      <c r="K272" s="34">
        <v>0</v>
      </c>
      <c r="L272" s="34"/>
      <c r="M272" s="34">
        <v>3</v>
      </c>
      <c r="N272" s="34">
        <v>0</v>
      </c>
      <c r="O272" s="34"/>
      <c r="P272" s="34">
        <v>3</v>
      </c>
      <c r="Q272" s="34">
        <v>0</v>
      </c>
      <c r="R272" s="34"/>
      <c r="S272" s="34">
        <v>3</v>
      </c>
      <c r="T272" s="34">
        <v>0</v>
      </c>
      <c r="U272" s="34"/>
      <c r="V272" s="34">
        <v>3</v>
      </c>
      <c r="W272" s="34">
        <v>0</v>
      </c>
      <c r="X272" s="34"/>
      <c r="Y272" s="34">
        <v>3</v>
      </c>
      <c r="Z272" s="34">
        <v>0</v>
      </c>
      <c r="AA272" s="34"/>
    </row>
    <row r="273" spans="1:27" ht="15.75" customHeight="1" x14ac:dyDescent="0.2">
      <c r="A273" s="34">
        <v>4</v>
      </c>
      <c r="B273" s="34">
        <v>1</v>
      </c>
      <c r="C273" s="34"/>
      <c r="D273" s="34">
        <v>4</v>
      </c>
      <c r="E273" s="34">
        <v>1</v>
      </c>
      <c r="F273" s="34"/>
      <c r="G273" s="34">
        <v>4</v>
      </c>
      <c r="H273" s="34">
        <v>1</v>
      </c>
      <c r="I273" s="34"/>
      <c r="J273" s="34">
        <v>4</v>
      </c>
      <c r="K273" s="34">
        <v>1</v>
      </c>
      <c r="L273" s="34"/>
      <c r="M273" s="34">
        <v>4</v>
      </c>
      <c r="N273" s="34">
        <v>0</v>
      </c>
      <c r="O273" s="34"/>
      <c r="P273" s="34">
        <v>4</v>
      </c>
      <c r="Q273" s="34">
        <v>0</v>
      </c>
      <c r="R273" s="34"/>
      <c r="S273" s="34">
        <v>4</v>
      </c>
      <c r="T273" s="34">
        <v>0</v>
      </c>
      <c r="U273" s="34"/>
      <c r="V273" s="34">
        <v>4</v>
      </c>
      <c r="W273" s="34">
        <v>0</v>
      </c>
      <c r="X273" s="34"/>
      <c r="Y273" s="34">
        <v>4</v>
      </c>
      <c r="Z273" s="34">
        <v>0</v>
      </c>
      <c r="AA273" s="34"/>
    </row>
    <row r="274" spans="1:27" ht="15.75" customHeight="1" x14ac:dyDescent="0.2">
      <c r="A274" s="34">
        <v>5</v>
      </c>
      <c r="B274" s="34">
        <v>2</v>
      </c>
      <c r="C274" s="34"/>
      <c r="D274" s="34">
        <v>5</v>
      </c>
      <c r="E274" s="34">
        <v>1</v>
      </c>
      <c r="F274" s="34"/>
      <c r="G274" s="34">
        <v>5</v>
      </c>
      <c r="H274" s="34">
        <v>1</v>
      </c>
      <c r="I274" s="34"/>
      <c r="J274" s="34">
        <v>5</v>
      </c>
      <c r="K274" s="34">
        <v>1</v>
      </c>
      <c r="L274" s="13"/>
      <c r="M274" s="34">
        <v>5</v>
      </c>
      <c r="N274" s="34">
        <v>1</v>
      </c>
      <c r="P274" s="34">
        <v>5</v>
      </c>
      <c r="Q274" s="34">
        <v>0</v>
      </c>
      <c r="S274" s="34">
        <v>5</v>
      </c>
      <c r="T274" s="34">
        <v>0</v>
      </c>
      <c r="V274" s="34">
        <v>5</v>
      </c>
      <c r="W274" s="34">
        <v>0</v>
      </c>
      <c r="Y274" s="34">
        <v>5</v>
      </c>
      <c r="Z274" s="34">
        <v>0</v>
      </c>
    </row>
    <row r="275" spans="1:27" ht="15.75" customHeight="1" x14ac:dyDescent="0.2">
      <c r="A275" s="34">
        <v>6</v>
      </c>
      <c r="B275" s="34">
        <v>2</v>
      </c>
      <c r="C275" s="34"/>
      <c r="D275" s="34">
        <v>6</v>
      </c>
      <c r="E275" s="34">
        <v>2</v>
      </c>
      <c r="F275" s="34"/>
      <c r="G275" s="34">
        <v>6</v>
      </c>
      <c r="H275" s="34">
        <v>1</v>
      </c>
      <c r="I275" s="34"/>
      <c r="J275" s="34">
        <v>6</v>
      </c>
      <c r="K275" s="34">
        <v>1</v>
      </c>
      <c r="L275" s="13"/>
      <c r="M275" s="34">
        <v>6</v>
      </c>
      <c r="N275" s="34">
        <v>1</v>
      </c>
      <c r="P275" s="34">
        <v>6</v>
      </c>
      <c r="Q275" s="34">
        <v>1</v>
      </c>
      <c r="S275" s="34">
        <v>6</v>
      </c>
      <c r="T275" s="34">
        <v>0</v>
      </c>
      <c r="V275" s="34">
        <v>6</v>
      </c>
      <c r="W275" s="34">
        <v>0</v>
      </c>
      <c r="Y275" s="34">
        <v>6</v>
      </c>
      <c r="Z275" s="34">
        <v>0</v>
      </c>
    </row>
    <row r="276" spans="1:27" ht="15.75" customHeight="1" x14ac:dyDescent="0.2">
      <c r="A276" s="34">
        <v>7</v>
      </c>
      <c r="B276" s="34">
        <v>2</v>
      </c>
      <c r="C276" s="34"/>
      <c r="D276" s="34">
        <v>7</v>
      </c>
      <c r="E276" s="34">
        <v>2</v>
      </c>
      <c r="F276" s="34"/>
      <c r="G276" s="34">
        <v>7</v>
      </c>
      <c r="H276" s="34">
        <v>2</v>
      </c>
      <c r="I276" s="34"/>
      <c r="J276" s="34">
        <v>7</v>
      </c>
      <c r="K276" s="34">
        <v>1</v>
      </c>
      <c r="L276" s="13"/>
      <c r="M276" s="34">
        <v>7</v>
      </c>
      <c r="N276" s="34">
        <v>1</v>
      </c>
      <c r="P276" s="34">
        <v>7</v>
      </c>
      <c r="Q276" s="34">
        <v>1</v>
      </c>
      <c r="S276" s="34">
        <v>7</v>
      </c>
      <c r="T276" s="34">
        <v>1</v>
      </c>
      <c r="V276" s="34">
        <v>7</v>
      </c>
      <c r="W276" s="34">
        <v>0</v>
      </c>
      <c r="Y276" s="34">
        <v>7</v>
      </c>
      <c r="Z276" s="34">
        <v>0</v>
      </c>
      <c r="AA276" s="13"/>
    </row>
    <row r="277" spans="1:27" ht="15.75" customHeight="1" x14ac:dyDescent="0.2">
      <c r="A277" s="34">
        <v>8</v>
      </c>
      <c r="B277" s="34">
        <v>2</v>
      </c>
      <c r="C277" s="34"/>
      <c r="D277" s="34">
        <v>8</v>
      </c>
      <c r="E277" s="34">
        <v>2</v>
      </c>
      <c r="F277" s="34"/>
      <c r="G277" s="34">
        <v>8</v>
      </c>
      <c r="H277" s="34">
        <v>2</v>
      </c>
      <c r="I277" s="34"/>
      <c r="J277" s="34">
        <v>8</v>
      </c>
      <c r="K277" s="34">
        <v>2</v>
      </c>
      <c r="L277" s="13"/>
      <c r="M277" s="34">
        <v>8</v>
      </c>
      <c r="N277" s="34">
        <v>1</v>
      </c>
      <c r="P277" s="34">
        <v>8</v>
      </c>
      <c r="Q277" s="34">
        <v>1</v>
      </c>
      <c r="S277" s="34">
        <v>8</v>
      </c>
      <c r="T277" s="34">
        <v>1</v>
      </c>
      <c r="V277" s="34">
        <v>8</v>
      </c>
      <c r="W277" s="34">
        <v>1</v>
      </c>
      <c r="Y277" s="34">
        <v>8</v>
      </c>
      <c r="Z277" s="34">
        <v>0</v>
      </c>
    </row>
    <row r="278" spans="1:27" ht="15.75" customHeight="1" x14ac:dyDescent="0.2">
      <c r="A278" s="34">
        <v>9</v>
      </c>
      <c r="B278" s="34">
        <v>3</v>
      </c>
      <c r="C278" s="34"/>
      <c r="D278" s="34">
        <v>9</v>
      </c>
      <c r="E278" s="34">
        <v>2</v>
      </c>
      <c r="F278" s="34"/>
      <c r="G278" s="34">
        <v>9</v>
      </c>
      <c r="H278" s="34">
        <v>2</v>
      </c>
      <c r="I278" s="34"/>
      <c r="J278" s="34">
        <v>9</v>
      </c>
      <c r="K278" s="34">
        <v>2</v>
      </c>
      <c r="L278" s="13"/>
      <c r="M278" s="34">
        <v>9</v>
      </c>
      <c r="N278" s="34">
        <v>2</v>
      </c>
      <c r="P278" s="34">
        <v>9</v>
      </c>
      <c r="Q278" s="34">
        <v>1</v>
      </c>
      <c r="S278" s="34">
        <v>9</v>
      </c>
      <c r="T278" s="34">
        <v>1</v>
      </c>
      <c r="V278" s="34">
        <v>9</v>
      </c>
      <c r="W278" s="34">
        <v>1</v>
      </c>
      <c r="Y278" s="34">
        <v>9</v>
      </c>
      <c r="Z278" s="34">
        <v>1</v>
      </c>
    </row>
    <row r="279" spans="1:27" ht="15.75" customHeight="1" x14ac:dyDescent="0.2">
      <c r="A279" s="34">
        <v>10</v>
      </c>
      <c r="B279" s="34">
        <v>3</v>
      </c>
      <c r="C279" s="34"/>
      <c r="D279" s="34">
        <v>10</v>
      </c>
      <c r="E279" s="34">
        <v>3</v>
      </c>
      <c r="F279" s="34"/>
      <c r="G279" s="34">
        <v>10</v>
      </c>
      <c r="H279" s="34">
        <v>2</v>
      </c>
      <c r="I279" s="34"/>
      <c r="J279" s="34">
        <v>10</v>
      </c>
      <c r="K279" s="34">
        <v>2</v>
      </c>
      <c r="M279" s="34">
        <v>10</v>
      </c>
      <c r="N279" s="34">
        <v>2</v>
      </c>
      <c r="P279" s="34">
        <v>10</v>
      </c>
      <c r="Q279" s="34">
        <v>2</v>
      </c>
      <c r="S279" s="34">
        <v>10</v>
      </c>
      <c r="T279" s="34">
        <v>1</v>
      </c>
      <c r="V279" s="34">
        <v>10</v>
      </c>
      <c r="W279" s="34">
        <v>1</v>
      </c>
      <c r="Y279" s="34">
        <v>10</v>
      </c>
      <c r="Z279" s="34">
        <v>1</v>
      </c>
    </row>
    <row r="280" spans="1:27" ht="15.75" customHeight="1" x14ac:dyDescent="0.2">
      <c r="A280" s="34">
        <v>11</v>
      </c>
      <c r="B280" s="34">
        <v>3</v>
      </c>
      <c r="C280" s="34"/>
      <c r="D280" s="34">
        <v>11</v>
      </c>
      <c r="E280" s="34">
        <v>3</v>
      </c>
      <c r="F280" s="34"/>
      <c r="G280" s="34">
        <v>11</v>
      </c>
      <c r="H280" s="34">
        <v>3</v>
      </c>
      <c r="I280" s="34"/>
      <c r="J280" s="34">
        <v>11</v>
      </c>
      <c r="K280" s="34">
        <v>2</v>
      </c>
      <c r="M280" s="34">
        <v>11</v>
      </c>
      <c r="N280" s="34">
        <v>2</v>
      </c>
      <c r="P280" s="34">
        <v>11</v>
      </c>
      <c r="Q280" s="34">
        <v>2</v>
      </c>
      <c r="S280" s="34">
        <v>11</v>
      </c>
      <c r="T280" s="34">
        <v>2</v>
      </c>
      <c r="V280" s="34">
        <v>11</v>
      </c>
      <c r="W280" s="34">
        <v>1</v>
      </c>
      <c r="Y280" s="34">
        <v>11</v>
      </c>
      <c r="Z280" s="34">
        <v>1</v>
      </c>
    </row>
    <row r="281" spans="1:27" ht="15.75" customHeight="1" x14ac:dyDescent="0.2">
      <c r="A281" s="34">
        <v>12</v>
      </c>
      <c r="B281" s="34">
        <v>3</v>
      </c>
      <c r="C281" s="34"/>
      <c r="D281" s="34">
        <v>12</v>
      </c>
      <c r="E281" s="34">
        <v>3</v>
      </c>
      <c r="F281" s="34"/>
      <c r="G281" s="34">
        <v>12</v>
      </c>
      <c r="H281" s="34">
        <v>3</v>
      </c>
      <c r="I281" s="34"/>
      <c r="J281" s="34">
        <v>12</v>
      </c>
      <c r="K281" s="34">
        <v>3</v>
      </c>
      <c r="M281" s="34">
        <v>12</v>
      </c>
      <c r="N281" s="34">
        <v>2</v>
      </c>
      <c r="P281" s="34">
        <v>12</v>
      </c>
      <c r="Q281" s="34">
        <v>2</v>
      </c>
      <c r="S281" s="34">
        <v>12</v>
      </c>
      <c r="T281" s="34">
        <v>2</v>
      </c>
      <c r="V281" s="34">
        <v>12</v>
      </c>
      <c r="W281" s="34">
        <v>2</v>
      </c>
      <c r="Y281" s="34">
        <v>12</v>
      </c>
      <c r="Z281" s="34">
        <v>1</v>
      </c>
    </row>
    <row r="282" spans="1:27" ht="15.75" customHeight="1" x14ac:dyDescent="0.2">
      <c r="A282" s="34">
        <v>13</v>
      </c>
      <c r="B282" s="34">
        <v>4</v>
      </c>
      <c r="C282" s="34"/>
      <c r="D282" s="34">
        <v>13</v>
      </c>
      <c r="E282" s="34">
        <v>3</v>
      </c>
      <c r="F282" s="34"/>
      <c r="G282" s="34">
        <v>13</v>
      </c>
      <c r="H282" s="34">
        <v>3</v>
      </c>
      <c r="I282" s="34"/>
      <c r="J282" s="34">
        <v>13</v>
      </c>
      <c r="K282" s="34">
        <v>3</v>
      </c>
      <c r="M282" s="34">
        <v>13</v>
      </c>
      <c r="N282" s="34">
        <v>3</v>
      </c>
      <c r="P282" s="34">
        <v>13</v>
      </c>
      <c r="Q282" s="34">
        <v>2</v>
      </c>
      <c r="S282" s="34">
        <v>13</v>
      </c>
      <c r="T282" s="34">
        <v>2</v>
      </c>
      <c r="V282" s="34">
        <v>13</v>
      </c>
      <c r="W282" s="34">
        <v>2</v>
      </c>
      <c r="Y282" s="34">
        <v>13</v>
      </c>
      <c r="Z282" s="34">
        <v>2</v>
      </c>
    </row>
    <row r="283" spans="1:27" ht="15.75" customHeight="1" x14ac:dyDescent="0.2">
      <c r="A283" s="34">
        <v>14</v>
      </c>
      <c r="B283" s="34">
        <v>4</v>
      </c>
      <c r="C283" s="34"/>
      <c r="D283" s="34">
        <v>14</v>
      </c>
      <c r="E283" s="34">
        <v>4</v>
      </c>
      <c r="F283" s="34"/>
      <c r="G283" s="34">
        <v>14</v>
      </c>
      <c r="H283" s="34">
        <v>3</v>
      </c>
      <c r="I283" s="34"/>
      <c r="J283" s="34">
        <v>14</v>
      </c>
      <c r="K283" s="34">
        <v>3</v>
      </c>
      <c r="M283" s="34">
        <v>14</v>
      </c>
      <c r="N283" s="34">
        <v>3</v>
      </c>
      <c r="P283" s="34">
        <v>14</v>
      </c>
      <c r="Q283" s="34">
        <v>3</v>
      </c>
      <c r="S283" s="34">
        <v>14</v>
      </c>
      <c r="T283" s="34">
        <v>2</v>
      </c>
      <c r="V283" s="34">
        <v>14</v>
      </c>
      <c r="W283" s="34">
        <v>2</v>
      </c>
      <c r="Y283" s="34">
        <v>14</v>
      </c>
      <c r="Z283" s="34">
        <v>2</v>
      </c>
    </row>
    <row r="284" spans="1:27" ht="15.75" customHeight="1" x14ac:dyDescent="0.2">
      <c r="A284" s="34">
        <v>15</v>
      </c>
      <c r="B284" s="34">
        <v>4</v>
      </c>
      <c r="C284" s="34"/>
      <c r="D284" s="34">
        <v>15</v>
      </c>
      <c r="E284" s="34">
        <v>4</v>
      </c>
      <c r="F284" s="34"/>
      <c r="G284" s="34">
        <v>15</v>
      </c>
      <c r="H284" s="34">
        <v>4</v>
      </c>
      <c r="I284" s="34"/>
      <c r="J284" s="34">
        <v>15</v>
      </c>
      <c r="K284" s="34">
        <v>3</v>
      </c>
      <c r="M284" s="34">
        <v>15</v>
      </c>
      <c r="N284" s="34">
        <v>3</v>
      </c>
      <c r="P284" s="34">
        <v>15</v>
      </c>
      <c r="Q284" s="34">
        <v>3</v>
      </c>
      <c r="S284" s="34">
        <v>15</v>
      </c>
      <c r="T284" s="34">
        <v>3</v>
      </c>
      <c r="V284" s="34">
        <v>15</v>
      </c>
      <c r="W284" s="34">
        <v>2</v>
      </c>
      <c r="Y284" s="34">
        <v>15</v>
      </c>
      <c r="Z284" s="34">
        <v>2</v>
      </c>
    </row>
    <row r="285" spans="1:27" ht="15.75" customHeight="1" x14ac:dyDescent="0.2">
      <c r="A285" s="34">
        <v>16</v>
      </c>
      <c r="B285" s="34">
        <v>4</v>
      </c>
      <c r="C285" s="34"/>
      <c r="D285" s="34">
        <v>16</v>
      </c>
      <c r="E285" s="34">
        <v>4</v>
      </c>
      <c r="F285" s="34"/>
      <c r="G285" s="34">
        <v>16</v>
      </c>
      <c r="H285" s="34">
        <v>4</v>
      </c>
      <c r="I285" s="34"/>
      <c r="J285" s="34">
        <v>16</v>
      </c>
      <c r="K285" s="34">
        <v>4</v>
      </c>
      <c r="M285" s="34">
        <v>16</v>
      </c>
      <c r="N285" s="34">
        <v>3</v>
      </c>
      <c r="P285" s="34">
        <v>16</v>
      </c>
      <c r="Q285" s="34">
        <v>3</v>
      </c>
      <c r="S285" s="34">
        <v>16</v>
      </c>
      <c r="T285" s="34">
        <v>3</v>
      </c>
      <c r="V285" s="34">
        <v>16</v>
      </c>
      <c r="W285" s="34">
        <v>3</v>
      </c>
      <c r="Y285" s="34">
        <v>16</v>
      </c>
      <c r="Z285" s="34">
        <v>2</v>
      </c>
    </row>
    <row r="286" spans="1:27" ht="15.75" customHeight="1" x14ac:dyDescent="0.2">
      <c r="A286" s="34">
        <v>17</v>
      </c>
      <c r="B286" s="34">
        <v>5</v>
      </c>
      <c r="C286" s="34"/>
      <c r="D286" s="34">
        <v>17</v>
      </c>
      <c r="E286" s="34">
        <v>4</v>
      </c>
      <c r="F286" s="34"/>
      <c r="G286" s="34">
        <v>17</v>
      </c>
      <c r="H286" s="34">
        <v>4</v>
      </c>
      <c r="I286" s="34"/>
      <c r="J286" s="34">
        <v>17</v>
      </c>
      <c r="K286" s="34">
        <v>4</v>
      </c>
      <c r="M286" s="34">
        <v>17</v>
      </c>
      <c r="N286" s="34">
        <v>4</v>
      </c>
      <c r="P286" s="34">
        <v>17</v>
      </c>
      <c r="Q286" s="34">
        <v>3</v>
      </c>
      <c r="S286" s="34">
        <v>17</v>
      </c>
      <c r="T286" s="34">
        <v>3</v>
      </c>
      <c r="V286" s="34">
        <v>17</v>
      </c>
      <c r="W286" s="34">
        <v>3</v>
      </c>
      <c r="Y286" s="34">
        <v>17</v>
      </c>
      <c r="Z286" s="34">
        <v>3</v>
      </c>
    </row>
    <row r="287" spans="1:27" ht="15.75" customHeight="1" x14ac:dyDescent="0.2">
      <c r="A287" s="34">
        <v>18</v>
      </c>
      <c r="B287" s="34">
        <v>5</v>
      </c>
      <c r="C287" s="34"/>
      <c r="D287" s="34">
        <v>18</v>
      </c>
      <c r="E287" s="34">
        <v>5</v>
      </c>
      <c r="F287" s="34"/>
      <c r="G287" s="34">
        <v>18</v>
      </c>
      <c r="H287" s="34">
        <v>4</v>
      </c>
      <c r="I287" s="34"/>
      <c r="J287" s="34">
        <v>18</v>
      </c>
      <c r="K287" s="34">
        <v>4</v>
      </c>
      <c r="M287" s="34">
        <v>18</v>
      </c>
      <c r="N287" s="34">
        <v>4</v>
      </c>
      <c r="P287" s="34">
        <v>18</v>
      </c>
      <c r="Q287" s="34">
        <v>4</v>
      </c>
      <c r="S287" s="34">
        <v>18</v>
      </c>
      <c r="T287" s="34">
        <v>3</v>
      </c>
      <c r="V287" s="34">
        <v>18</v>
      </c>
      <c r="W287" s="34">
        <v>3</v>
      </c>
      <c r="Y287" s="34">
        <v>18</v>
      </c>
      <c r="Z287" s="34">
        <v>3</v>
      </c>
    </row>
    <row r="288" spans="1:27" ht="15.75" customHeight="1" x14ac:dyDescent="0.2">
      <c r="A288" s="34">
        <v>19</v>
      </c>
      <c r="B288" s="34">
        <v>5</v>
      </c>
      <c r="C288" s="34"/>
      <c r="D288" s="34">
        <v>19</v>
      </c>
      <c r="E288" s="34">
        <v>5</v>
      </c>
      <c r="F288" s="34"/>
      <c r="G288" s="34">
        <v>19</v>
      </c>
      <c r="H288" s="34">
        <v>5</v>
      </c>
      <c r="I288" s="34"/>
      <c r="J288" s="34">
        <v>19</v>
      </c>
      <c r="K288" s="34">
        <v>4</v>
      </c>
      <c r="M288" s="34">
        <v>19</v>
      </c>
      <c r="N288" s="34">
        <v>4</v>
      </c>
      <c r="P288" s="34">
        <v>19</v>
      </c>
      <c r="Q288" s="34">
        <v>4</v>
      </c>
      <c r="S288" s="34">
        <v>19</v>
      </c>
      <c r="T288" s="34">
        <v>4</v>
      </c>
      <c r="V288" s="34">
        <v>19</v>
      </c>
      <c r="W288" s="34">
        <v>3</v>
      </c>
      <c r="Y288" s="34">
        <v>19</v>
      </c>
      <c r="Z288" s="34">
        <v>3</v>
      </c>
    </row>
    <row r="289" spans="1:61" ht="15.75" customHeight="1" x14ac:dyDescent="0.2">
      <c r="A289" s="34">
        <v>20</v>
      </c>
      <c r="B289" s="34">
        <v>5</v>
      </c>
      <c r="C289" s="34"/>
      <c r="D289" s="34">
        <v>20</v>
      </c>
      <c r="E289" s="34">
        <v>5</v>
      </c>
      <c r="F289" s="34"/>
      <c r="G289" s="34">
        <v>20</v>
      </c>
      <c r="H289" s="34">
        <v>5</v>
      </c>
      <c r="I289" s="34"/>
      <c r="J289" s="34">
        <v>20</v>
      </c>
      <c r="K289" s="34">
        <v>5</v>
      </c>
      <c r="M289" s="34">
        <v>20</v>
      </c>
      <c r="N289" s="34">
        <v>4</v>
      </c>
      <c r="P289" s="34">
        <v>20</v>
      </c>
      <c r="Q289" s="34">
        <v>4</v>
      </c>
      <c r="S289" s="34">
        <v>20</v>
      </c>
      <c r="T289" s="34">
        <v>4</v>
      </c>
      <c r="V289" s="34">
        <v>20</v>
      </c>
      <c r="W289" s="34">
        <v>4</v>
      </c>
      <c r="Y289" s="34">
        <v>20</v>
      </c>
      <c r="Z289" s="34">
        <v>3</v>
      </c>
    </row>
    <row r="290" spans="1:61" ht="12.75" customHeight="1" x14ac:dyDescent="0.2"/>
    <row r="291" spans="1:61" ht="15.75" customHeight="1" x14ac:dyDescent="0.2">
      <c r="A291" s="453" t="s">
        <v>441</v>
      </c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</row>
    <row r="292" spans="1:61" ht="15.75" customHeight="1" x14ac:dyDescent="0.2">
      <c r="A292" s="34" t="s">
        <v>442</v>
      </c>
      <c r="B292" s="34" t="s">
        <v>443</v>
      </c>
      <c r="D292" s="13" t="s">
        <v>444</v>
      </c>
      <c r="E292" s="13" t="s">
        <v>445</v>
      </c>
      <c r="G292" s="13" t="s">
        <v>444</v>
      </c>
      <c r="H292" s="13" t="s">
        <v>446</v>
      </c>
      <c r="J292" s="13" t="s">
        <v>447</v>
      </c>
    </row>
    <row r="293" spans="1:61" ht="15.75" customHeight="1" x14ac:dyDescent="0.2">
      <c r="A293" s="34">
        <v>0</v>
      </c>
      <c r="B293" s="34">
        <v>0</v>
      </c>
      <c r="C293" s="13"/>
      <c r="D293" s="13">
        <f>Equipamiento!B56</f>
        <v>0</v>
      </c>
      <c r="E293" s="13">
        <v>3</v>
      </c>
      <c r="F293" s="13"/>
      <c r="G293" s="13">
        <f>Equipamiento!B56</f>
        <v>0</v>
      </c>
      <c r="H293" s="13">
        <v>-3</v>
      </c>
      <c r="I293" s="13"/>
      <c r="J293" s="13" t="s">
        <v>448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</row>
    <row r="294" spans="1:61" ht="15.75" customHeight="1" x14ac:dyDescent="0.2">
      <c r="A294" s="34">
        <v>5</v>
      </c>
      <c r="B294" s="34">
        <v>5</v>
      </c>
      <c r="D294" s="112">
        <f>Equipamiento!B57</f>
        <v>0</v>
      </c>
      <c r="E294" s="112">
        <v>1</v>
      </c>
      <c r="G294" s="13">
        <f>Equipamiento!B57</f>
        <v>0</v>
      </c>
      <c r="H294" s="112">
        <v>-6</v>
      </c>
      <c r="J294" s="13" t="s">
        <v>175</v>
      </c>
    </row>
    <row r="295" spans="1:61" ht="15.75" customHeight="1" x14ac:dyDescent="0.2">
      <c r="A295" s="34">
        <v>10</v>
      </c>
      <c r="B295" s="34">
        <v>10</v>
      </c>
      <c r="J295" s="13" t="s">
        <v>449</v>
      </c>
    </row>
    <row r="296" spans="1:61" ht="15.75" customHeight="1" x14ac:dyDescent="0.2">
      <c r="A296" s="34">
        <v>15</v>
      </c>
      <c r="B296" s="34">
        <v>10</v>
      </c>
      <c r="J296" s="13" t="s">
        <v>450</v>
      </c>
    </row>
    <row r="297" spans="1:61" ht="15.75" customHeight="1" x14ac:dyDescent="0.2">
      <c r="A297" s="34">
        <v>20</v>
      </c>
      <c r="B297" s="34">
        <v>15</v>
      </c>
    </row>
    <row r="298" spans="1:61" ht="15.75" customHeight="1" x14ac:dyDescent="0.2">
      <c r="A298" s="34">
        <v>25</v>
      </c>
      <c r="B298" s="34">
        <v>15</v>
      </c>
    </row>
    <row r="299" spans="1:61" ht="15.75" customHeight="1" x14ac:dyDescent="0.2">
      <c r="A299" s="34">
        <v>30</v>
      </c>
      <c r="B299" s="34">
        <v>20</v>
      </c>
    </row>
    <row r="300" spans="1:61" ht="15.75" customHeight="1" x14ac:dyDescent="0.2">
      <c r="A300" s="34">
        <v>35</v>
      </c>
      <c r="B300" s="34">
        <v>25</v>
      </c>
    </row>
    <row r="301" spans="1:61" ht="15.75" customHeight="1" x14ac:dyDescent="0.2">
      <c r="A301" s="34">
        <v>40</v>
      </c>
      <c r="B301" s="34">
        <v>30</v>
      </c>
    </row>
    <row r="302" spans="1:61" ht="15.75" customHeight="1" x14ac:dyDescent="0.2">
      <c r="A302" s="34">
        <v>45</v>
      </c>
      <c r="B302" s="34">
        <v>30</v>
      </c>
    </row>
    <row r="303" spans="1:61" ht="15.75" customHeight="1" x14ac:dyDescent="0.2">
      <c r="A303" s="34">
        <v>50</v>
      </c>
      <c r="B303" s="34">
        <v>35</v>
      </c>
    </row>
    <row r="304" spans="1:61" ht="15.75" customHeight="1" x14ac:dyDescent="0.2">
      <c r="A304" s="34">
        <v>55</v>
      </c>
      <c r="B304" s="34">
        <v>35</v>
      </c>
    </row>
    <row r="305" spans="1:2" ht="15.75" customHeight="1" x14ac:dyDescent="0.2">
      <c r="A305" s="34">
        <v>60</v>
      </c>
      <c r="B305" s="34">
        <v>40</v>
      </c>
    </row>
    <row r="306" spans="1:2" ht="15.75" customHeight="1" x14ac:dyDescent="0.2">
      <c r="A306" s="34">
        <v>65</v>
      </c>
      <c r="B306" s="34">
        <v>45</v>
      </c>
    </row>
    <row r="307" spans="1:2" ht="15.75" customHeight="1" x14ac:dyDescent="0.2">
      <c r="A307" s="34">
        <v>70</v>
      </c>
      <c r="B307" s="34">
        <v>50</v>
      </c>
    </row>
    <row r="308" spans="1:2" ht="15.75" customHeight="1" x14ac:dyDescent="0.2">
      <c r="A308" s="34">
        <v>75</v>
      </c>
      <c r="B308" s="34">
        <v>50</v>
      </c>
    </row>
    <row r="309" spans="1:2" ht="15.75" customHeight="1" x14ac:dyDescent="0.2">
      <c r="A309" s="34">
        <v>80</v>
      </c>
      <c r="B309" s="34">
        <v>55</v>
      </c>
    </row>
    <row r="310" spans="1:2" ht="15.75" customHeight="1" x14ac:dyDescent="0.2">
      <c r="A310" s="34">
        <v>85</v>
      </c>
      <c r="B310" s="34">
        <v>60</v>
      </c>
    </row>
    <row r="311" spans="1:2" ht="15.75" customHeight="1" x14ac:dyDescent="0.2">
      <c r="A311" s="34">
        <v>90</v>
      </c>
      <c r="B311" s="34">
        <v>60</v>
      </c>
    </row>
    <row r="312" spans="1:2" ht="15.75" customHeight="1" x14ac:dyDescent="0.2">
      <c r="A312" s="34">
        <v>95</v>
      </c>
      <c r="B312" s="34">
        <v>65</v>
      </c>
    </row>
    <row r="313" spans="1:2" ht="15.75" customHeight="1" x14ac:dyDescent="0.2">
      <c r="A313" s="34">
        <v>100</v>
      </c>
      <c r="B313" s="34">
        <v>70</v>
      </c>
    </row>
    <row r="314" spans="1:2" ht="15.75" customHeight="1" x14ac:dyDescent="0.2">
      <c r="A314" s="34">
        <v>105</v>
      </c>
      <c r="B314" s="34">
        <v>75</v>
      </c>
    </row>
    <row r="315" spans="1:2" ht="15.75" customHeight="1" x14ac:dyDescent="0.2">
      <c r="A315" s="34">
        <v>110</v>
      </c>
      <c r="B315" s="34">
        <v>75</v>
      </c>
    </row>
    <row r="316" spans="1:2" ht="15.75" customHeight="1" x14ac:dyDescent="0.2">
      <c r="A316" s="34">
        <v>115</v>
      </c>
      <c r="B316" s="34">
        <v>80</v>
      </c>
    </row>
    <row r="317" spans="1:2" ht="15.75" customHeight="1" x14ac:dyDescent="0.2">
      <c r="A317" s="34">
        <v>120</v>
      </c>
      <c r="B317" s="34">
        <v>85</v>
      </c>
    </row>
    <row r="318" spans="1:2" ht="15.75" customHeight="1" x14ac:dyDescent="0.2">
      <c r="A318" s="34">
        <v>125</v>
      </c>
      <c r="B318" s="34">
        <v>85</v>
      </c>
    </row>
    <row r="319" spans="1:2" ht="15.75" customHeight="1" x14ac:dyDescent="0.2">
      <c r="A319" s="34">
        <v>130</v>
      </c>
      <c r="B319" s="34">
        <v>90</v>
      </c>
    </row>
    <row r="320" spans="1:2" ht="12.75" customHeight="1" x14ac:dyDescent="0.2"/>
    <row r="321" spans="1:41" ht="15.75" customHeight="1" x14ac:dyDescent="0.2">
      <c r="A321" s="454" t="s">
        <v>451</v>
      </c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E321" s="454" t="s">
        <v>452</v>
      </c>
      <c r="AF321" s="307"/>
      <c r="AG321" s="307"/>
      <c r="AH321" s="307"/>
      <c r="AI321" s="307"/>
      <c r="AJ321" s="307"/>
      <c r="AK321" s="307"/>
      <c r="AL321" s="307"/>
      <c r="AM321" s="307"/>
      <c r="AN321" s="307"/>
      <c r="AO321" s="307"/>
    </row>
    <row r="322" spans="1:41" ht="15.75" customHeight="1" x14ac:dyDescent="0.2">
      <c r="A322" s="235" t="s">
        <v>453</v>
      </c>
      <c r="B322" s="235" t="s">
        <v>454</v>
      </c>
      <c r="C322" s="62"/>
      <c r="D322" s="235" t="s">
        <v>453</v>
      </c>
      <c r="E322" s="235" t="s">
        <v>455</v>
      </c>
      <c r="F322" s="62"/>
      <c r="G322" s="235" t="s">
        <v>453</v>
      </c>
      <c r="H322" s="235" t="s">
        <v>456</v>
      </c>
      <c r="I322" s="62"/>
      <c r="J322" s="235" t="s">
        <v>453</v>
      </c>
      <c r="K322" s="235" t="s">
        <v>457</v>
      </c>
      <c r="L322" s="62"/>
      <c r="M322" s="235" t="s">
        <v>453</v>
      </c>
      <c r="N322" s="235" t="s">
        <v>458</v>
      </c>
      <c r="O322" s="62"/>
      <c r="P322" s="235" t="s">
        <v>453</v>
      </c>
      <c r="Q322" s="235" t="s">
        <v>459</v>
      </c>
      <c r="R322" s="62"/>
      <c r="S322" s="236" t="s">
        <v>453</v>
      </c>
      <c r="T322" s="236" t="s">
        <v>460</v>
      </c>
      <c r="U322" s="62"/>
      <c r="V322" s="62"/>
      <c r="W322" s="62"/>
      <c r="X322" s="62"/>
      <c r="Y322" s="62"/>
      <c r="Z322" s="62"/>
    </row>
    <row r="323" spans="1:41" ht="15.75" customHeight="1" x14ac:dyDescent="0.2">
      <c r="A323" s="237">
        <v>1</v>
      </c>
      <c r="B323" s="237">
        <v>2</v>
      </c>
      <c r="C323" s="34"/>
      <c r="D323" s="237">
        <v>1</v>
      </c>
      <c r="E323" s="237" t="s">
        <v>213</v>
      </c>
      <c r="F323" s="34"/>
      <c r="G323" s="237">
        <v>1</v>
      </c>
      <c r="H323" s="237" t="s">
        <v>213</v>
      </c>
      <c r="I323" s="34"/>
      <c r="J323" s="237">
        <v>1</v>
      </c>
      <c r="K323" s="237" t="s">
        <v>213</v>
      </c>
      <c r="L323" s="34"/>
      <c r="M323" s="237">
        <v>1</v>
      </c>
      <c r="N323" s="237" t="s">
        <v>213</v>
      </c>
      <c r="O323" s="34"/>
      <c r="P323" s="237">
        <v>1</v>
      </c>
      <c r="Q323" s="237" t="s">
        <v>213</v>
      </c>
      <c r="R323" s="34"/>
      <c r="S323" s="238">
        <v>1</v>
      </c>
      <c r="T323" s="238" t="s">
        <v>213</v>
      </c>
      <c r="U323" s="34"/>
      <c r="V323" s="34"/>
      <c r="W323" s="34"/>
      <c r="X323" s="34"/>
      <c r="Y323" s="34"/>
      <c r="Z323" s="34"/>
      <c r="AE323" s="13" t="s">
        <v>461</v>
      </c>
      <c r="AF323" s="13" t="s">
        <v>462</v>
      </c>
      <c r="AH323" s="13" t="s">
        <v>461</v>
      </c>
      <c r="AI323" s="13" t="s">
        <v>463</v>
      </c>
      <c r="AK323" s="13" t="s">
        <v>461</v>
      </c>
      <c r="AL323" s="13" t="s">
        <v>464</v>
      </c>
      <c r="AN323" s="13" t="s">
        <v>461</v>
      </c>
      <c r="AO323" s="13" t="s">
        <v>465</v>
      </c>
    </row>
    <row r="324" spans="1:41" ht="15.75" customHeight="1" x14ac:dyDescent="0.2">
      <c r="A324" s="239">
        <v>2</v>
      </c>
      <c r="B324" s="239">
        <v>3</v>
      </c>
      <c r="C324" s="34"/>
      <c r="D324" s="239">
        <v>2</v>
      </c>
      <c r="E324" s="239">
        <v>0</v>
      </c>
      <c r="F324" s="34"/>
      <c r="G324" s="239">
        <v>2</v>
      </c>
      <c r="H324" s="239" t="s">
        <v>213</v>
      </c>
      <c r="I324" s="34"/>
      <c r="J324" s="239">
        <v>2</v>
      </c>
      <c r="K324" s="239" t="s">
        <v>213</v>
      </c>
      <c r="L324" s="34"/>
      <c r="M324" s="239">
        <v>2</v>
      </c>
      <c r="N324" s="239" t="s">
        <v>213</v>
      </c>
      <c r="O324" s="34"/>
      <c r="P324" s="239">
        <v>2</v>
      </c>
      <c r="Q324" s="239" t="s">
        <v>213</v>
      </c>
      <c r="R324" s="34"/>
      <c r="S324" s="238">
        <v>2</v>
      </c>
      <c r="T324" s="238" t="s">
        <v>213</v>
      </c>
      <c r="U324" s="34"/>
      <c r="V324" s="34"/>
      <c r="W324" s="34"/>
      <c r="X324" s="34"/>
      <c r="Y324" s="34"/>
      <c r="Z324" s="34"/>
      <c r="AE324" s="13" t="s">
        <v>264</v>
      </c>
      <c r="AF324" s="34" t="s">
        <v>688</v>
      </c>
      <c r="AH324" s="13" t="s">
        <v>264</v>
      </c>
      <c r="AI324" s="34" t="s">
        <v>688</v>
      </c>
      <c r="AK324" s="13" t="s">
        <v>264</v>
      </c>
      <c r="AL324" s="34" t="s">
        <v>688</v>
      </c>
      <c r="AN324" s="13" t="s">
        <v>264</v>
      </c>
      <c r="AO324" s="34" t="s">
        <v>688</v>
      </c>
    </row>
    <row r="325" spans="1:41" ht="15.75" customHeight="1" x14ac:dyDescent="0.2">
      <c r="A325" s="237">
        <v>3</v>
      </c>
      <c r="B325" s="237">
        <v>3</v>
      </c>
      <c r="C325" s="34"/>
      <c r="D325" s="237">
        <v>3</v>
      </c>
      <c r="E325" s="237">
        <v>1</v>
      </c>
      <c r="F325" s="34"/>
      <c r="G325" s="237">
        <v>3</v>
      </c>
      <c r="H325" s="237" t="s">
        <v>213</v>
      </c>
      <c r="I325" s="34"/>
      <c r="J325" s="237">
        <v>3</v>
      </c>
      <c r="K325" s="237" t="s">
        <v>213</v>
      </c>
      <c r="L325" s="34"/>
      <c r="M325" s="237">
        <v>3</v>
      </c>
      <c r="N325" s="237" t="s">
        <v>213</v>
      </c>
      <c r="O325" s="34"/>
      <c r="P325" s="237">
        <v>3</v>
      </c>
      <c r="Q325" s="237" t="s">
        <v>213</v>
      </c>
      <c r="R325" s="34"/>
      <c r="S325" s="238">
        <v>3</v>
      </c>
      <c r="T325" s="238" t="s">
        <v>213</v>
      </c>
      <c r="U325" s="34"/>
      <c r="V325" s="34"/>
      <c r="W325" s="34"/>
      <c r="X325" s="34"/>
      <c r="Y325" s="34"/>
      <c r="Z325" s="34"/>
      <c r="AE325" s="13" t="s">
        <v>265</v>
      </c>
      <c r="AF325" s="34" t="s">
        <v>688</v>
      </c>
      <c r="AH325" s="13" t="s">
        <v>265</v>
      </c>
      <c r="AI325" s="34" t="s">
        <v>688</v>
      </c>
      <c r="AK325" s="13" t="s">
        <v>265</v>
      </c>
      <c r="AL325" s="34" t="s">
        <v>688</v>
      </c>
      <c r="AN325" s="13" t="s">
        <v>265</v>
      </c>
      <c r="AO325" s="34" t="s">
        <v>688</v>
      </c>
    </row>
    <row r="326" spans="1:41" ht="15.75" customHeight="1" x14ac:dyDescent="0.2">
      <c r="A326" s="239">
        <v>4</v>
      </c>
      <c r="B326" s="239">
        <v>3</v>
      </c>
      <c r="C326" s="34"/>
      <c r="D326" s="239">
        <v>4</v>
      </c>
      <c r="E326" s="239">
        <v>2</v>
      </c>
      <c r="F326" s="34"/>
      <c r="G326" s="239">
        <v>4</v>
      </c>
      <c r="H326" s="239">
        <v>0</v>
      </c>
      <c r="I326" s="34"/>
      <c r="J326" s="239">
        <v>4</v>
      </c>
      <c r="K326" s="239" t="s">
        <v>213</v>
      </c>
      <c r="L326" s="34"/>
      <c r="M326" s="239">
        <v>4</v>
      </c>
      <c r="N326" s="239" t="s">
        <v>213</v>
      </c>
      <c r="O326" s="34"/>
      <c r="P326" s="239">
        <v>4</v>
      </c>
      <c r="Q326" s="239" t="s">
        <v>213</v>
      </c>
      <c r="R326" s="34"/>
      <c r="S326" s="238">
        <v>4</v>
      </c>
      <c r="T326" s="238" t="s">
        <v>213</v>
      </c>
      <c r="U326" s="34"/>
      <c r="V326" s="34"/>
      <c r="W326" s="34"/>
      <c r="X326" s="34"/>
      <c r="Y326" s="34"/>
      <c r="Z326" s="34"/>
      <c r="AE326" s="13" t="s">
        <v>266</v>
      </c>
      <c r="AF326" s="34" t="s">
        <v>688</v>
      </c>
      <c r="AH326" s="13" t="s">
        <v>266</v>
      </c>
      <c r="AI326" s="34" t="s">
        <v>688</v>
      </c>
      <c r="AK326" s="13" t="s">
        <v>266</v>
      </c>
      <c r="AL326" s="34" t="s">
        <v>688</v>
      </c>
      <c r="AN326" s="13" t="s">
        <v>266</v>
      </c>
      <c r="AO326" s="34" t="s">
        <v>688</v>
      </c>
    </row>
    <row r="327" spans="1:41" ht="15.75" customHeight="1" x14ac:dyDescent="0.2">
      <c r="A327" s="237">
        <v>5</v>
      </c>
      <c r="B327" s="237">
        <v>3</v>
      </c>
      <c r="C327" s="34"/>
      <c r="D327" s="237">
        <v>5</v>
      </c>
      <c r="E327" s="237">
        <v>3</v>
      </c>
      <c r="F327" s="34"/>
      <c r="G327" s="237">
        <v>5</v>
      </c>
      <c r="H327" s="237">
        <v>1</v>
      </c>
      <c r="I327" s="34"/>
      <c r="J327" s="237">
        <v>5</v>
      </c>
      <c r="K327" s="237" t="s">
        <v>213</v>
      </c>
      <c r="L327" s="34"/>
      <c r="M327" s="237">
        <v>5</v>
      </c>
      <c r="N327" s="237" t="s">
        <v>213</v>
      </c>
      <c r="O327" s="34"/>
      <c r="P327" s="237">
        <v>5</v>
      </c>
      <c r="Q327" s="237" t="s">
        <v>213</v>
      </c>
      <c r="R327" s="34"/>
      <c r="S327" s="238">
        <v>5</v>
      </c>
      <c r="T327" s="238" t="s">
        <v>213</v>
      </c>
      <c r="U327" s="34"/>
      <c r="V327" s="34"/>
      <c r="W327" s="34"/>
      <c r="X327" s="34"/>
      <c r="Y327" s="34"/>
      <c r="Z327" s="34"/>
      <c r="AE327" s="13" t="s">
        <v>267</v>
      </c>
      <c r="AF327" s="34" t="s">
        <v>688</v>
      </c>
      <c r="AH327" s="13" t="s">
        <v>267</v>
      </c>
      <c r="AI327" s="34" t="s">
        <v>688</v>
      </c>
      <c r="AK327" s="13" t="s">
        <v>267</v>
      </c>
      <c r="AL327" s="34" t="s">
        <v>688</v>
      </c>
      <c r="AN327" s="13" t="s">
        <v>267</v>
      </c>
      <c r="AO327" s="34" t="s">
        <v>688</v>
      </c>
    </row>
    <row r="328" spans="1:41" ht="15.75" customHeight="1" x14ac:dyDescent="0.2">
      <c r="A328" s="239">
        <v>6</v>
      </c>
      <c r="B328" s="239">
        <v>3</v>
      </c>
      <c r="C328" s="34"/>
      <c r="D328" s="239">
        <v>6</v>
      </c>
      <c r="E328" s="239">
        <v>3</v>
      </c>
      <c r="F328" s="34"/>
      <c r="G328" s="239">
        <v>6</v>
      </c>
      <c r="H328" s="239">
        <v>2</v>
      </c>
      <c r="I328" s="34"/>
      <c r="J328" s="239">
        <v>6</v>
      </c>
      <c r="K328" s="239" t="s">
        <v>213</v>
      </c>
      <c r="L328" s="34"/>
      <c r="M328" s="239">
        <v>6</v>
      </c>
      <c r="N328" s="239" t="s">
        <v>213</v>
      </c>
      <c r="O328" s="34"/>
      <c r="P328" s="239">
        <v>6</v>
      </c>
      <c r="Q328" s="239" t="s">
        <v>213</v>
      </c>
      <c r="R328" s="34"/>
      <c r="S328" s="238">
        <v>6</v>
      </c>
      <c r="T328" s="238" t="s">
        <v>213</v>
      </c>
      <c r="U328" s="34"/>
      <c r="V328" s="34"/>
      <c r="W328" s="34"/>
      <c r="X328" s="34"/>
      <c r="Y328" s="34"/>
      <c r="Z328" s="34"/>
      <c r="AE328" s="13" t="s">
        <v>272</v>
      </c>
      <c r="AF328" s="34" t="s">
        <v>688</v>
      </c>
      <c r="AH328" s="13" t="s">
        <v>272</v>
      </c>
      <c r="AI328" s="34" t="s">
        <v>688</v>
      </c>
      <c r="AK328" s="13" t="s">
        <v>272</v>
      </c>
      <c r="AL328" s="34" t="s">
        <v>688</v>
      </c>
      <c r="AN328" s="13" t="s">
        <v>272</v>
      </c>
      <c r="AO328" s="34" t="s">
        <v>688</v>
      </c>
    </row>
    <row r="329" spans="1:41" ht="15.75" customHeight="1" x14ac:dyDescent="0.2">
      <c r="A329" s="237">
        <v>7</v>
      </c>
      <c r="B329" s="237">
        <v>3</v>
      </c>
      <c r="C329" s="34"/>
      <c r="D329" s="237">
        <v>7</v>
      </c>
      <c r="E329" s="237">
        <v>3</v>
      </c>
      <c r="F329" s="34"/>
      <c r="G329" s="237">
        <v>7</v>
      </c>
      <c r="H329" s="237">
        <v>2</v>
      </c>
      <c r="I329" s="34"/>
      <c r="J329" s="237">
        <v>7</v>
      </c>
      <c r="K329" s="237">
        <v>0</v>
      </c>
      <c r="L329" s="34"/>
      <c r="M329" s="237">
        <v>7</v>
      </c>
      <c r="N329" s="237" t="s">
        <v>213</v>
      </c>
      <c r="O329" s="34"/>
      <c r="P329" s="237">
        <v>7</v>
      </c>
      <c r="Q329" s="237" t="s">
        <v>213</v>
      </c>
      <c r="R329" s="34"/>
      <c r="S329" s="238">
        <v>7</v>
      </c>
      <c r="T329" s="238" t="s">
        <v>213</v>
      </c>
      <c r="U329" s="34"/>
      <c r="V329" s="34"/>
      <c r="W329" s="34"/>
      <c r="X329" s="34"/>
      <c r="Y329" s="34"/>
      <c r="Z329" s="34"/>
      <c r="AE329" s="13" t="s">
        <v>270</v>
      </c>
      <c r="AF329" s="34" t="s">
        <v>688</v>
      </c>
      <c r="AH329" s="13" t="s">
        <v>270</v>
      </c>
      <c r="AI329" s="34" t="s">
        <v>688</v>
      </c>
      <c r="AK329" s="13" t="s">
        <v>270</v>
      </c>
      <c r="AL329" s="34" t="s">
        <v>688</v>
      </c>
      <c r="AN329" s="13" t="s">
        <v>270</v>
      </c>
      <c r="AO329" s="34" t="s">
        <v>688</v>
      </c>
    </row>
    <row r="330" spans="1:41" ht="15.75" customHeight="1" x14ac:dyDescent="0.2">
      <c r="A330" s="239">
        <v>8</v>
      </c>
      <c r="B330" s="239">
        <v>3</v>
      </c>
      <c r="C330" s="34"/>
      <c r="D330" s="239">
        <v>8</v>
      </c>
      <c r="E330" s="239">
        <v>3</v>
      </c>
      <c r="F330" s="34"/>
      <c r="G330" s="239">
        <v>8</v>
      </c>
      <c r="H330" s="239">
        <v>3</v>
      </c>
      <c r="I330" s="34"/>
      <c r="J330" s="239">
        <v>8</v>
      </c>
      <c r="K330" s="239">
        <v>1</v>
      </c>
      <c r="L330" s="34"/>
      <c r="M330" s="239">
        <v>8</v>
      </c>
      <c r="N330" s="239" t="s">
        <v>213</v>
      </c>
      <c r="O330" s="34"/>
      <c r="P330" s="239">
        <v>8</v>
      </c>
      <c r="Q330" s="239" t="s">
        <v>213</v>
      </c>
      <c r="R330" s="34"/>
      <c r="S330" s="238">
        <v>8</v>
      </c>
      <c r="T330" s="238" t="s">
        <v>213</v>
      </c>
      <c r="U330" s="34"/>
      <c r="V330" s="34"/>
      <c r="W330" s="34"/>
      <c r="X330" s="34"/>
      <c r="Y330" s="34"/>
      <c r="Z330" s="34"/>
      <c r="AE330" s="13" t="s">
        <v>269</v>
      </c>
      <c r="AF330" s="34" t="s">
        <v>688</v>
      </c>
      <c r="AH330" s="13" t="s">
        <v>269</v>
      </c>
      <c r="AI330" s="34" t="s">
        <v>688</v>
      </c>
      <c r="AK330" s="13" t="s">
        <v>269</v>
      </c>
      <c r="AL330" s="34" t="s">
        <v>688</v>
      </c>
      <c r="AN330" s="13" t="s">
        <v>269</v>
      </c>
      <c r="AO330" s="34" t="s">
        <v>688</v>
      </c>
    </row>
    <row r="331" spans="1:41" ht="15.75" customHeight="1" x14ac:dyDescent="0.2">
      <c r="A331" s="237">
        <v>9</v>
      </c>
      <c r="B331" s="237">
        <v>3</v>
      </c>
      <c r="C331" s="34"/>
      <c r="D331" s="237">
        <v>9</v>
      </c>
      <c r="E331" s="237">
        <v>3</v>
      </c>
      <c r="F331" s="34"/>
      <c r="G331" s="237">
        <v>9</v>
      </c>
      <c r="H331" s="237">
        <v>3</v>
      </c>
      <c r="I331" s="34"/>
      <c r="J331" s="237">
        <v>9</v>
      </c>
      <c r="K331" s="237">
        <v>2</v>
      </c>
      <c r="L331" s="34"/>
      <c r="M331" s="237">
        <v>9</v>
      </c>
      <c r="N331" s="237" t="s">
        <v>213</v>
      </c>
      <c r="O331" s="34"/>
      <c r="P331" s="237">
        <v>9</v>
      </c>
      <c r="Q331" s="237" t="s">
        <v>213</v>
      </c>
      <c r="R331" s="34"/>
      <c r="S331" s="238">
        <v>9</v>
      </c>
      <c r="T331" s="238" t="s">
        <v>213</v>
      </c>
      <c r="U331" s="34"/>
      <c r="V331" s="34"/>
      <c r="W331" s="34"/>
      <c r="X331" s="34"/>
      <c r="Y331" s="34"/>
      <c r="Z331" s="34"/>
      <c r="AE331" s="13" t="s">
        <v>213</v>
      </c>
      <c r="AF331" s="34" t="s">
        <v>213</v>
      </c>
      <c r="AH331" s="13" t="s">
        <v>213</v>
      </c>
      <c r="AI331" s="34" t="s">
        <v>213</v>
      </c>
      <c r="AK331" s="13" t="s">
        <v>213</v>
      </c>
      <c r="AL331" s="34" t="s">
        <v>213</v>
      </c>
      <c r="AN331" s="13" t="s">
        <v>213</v>
      </c>
      <c r="AO331" s="34" t="s">
        <v>213</v>
      </c>
    </row>
    <row r="332" spans="1:41" ht="15.75" customHeight="1" x14ac:dyDescent="0.2">
      <c r="A332" s="239">
        <v>10</v>
      </c>
      <c r="B332" s="239">
        <v>3</v>
      </c>
      <c r="C332" s="34"/>
      <c r="D332" s="239">
        <v>10</v>
      </c>
      <c r="E332" s="239">
        <v>3</v>
      </c>
      <c r="F332" s="34"/>
      <c r="G332" s="239">
        <v>10</v>
      </c>
      <c r="H332" s="239">
        <v>3</v>
      </c>
      <c r="I332" s="34"/>
      <c r="J332" s="239">
        <v>10</v>
      </c>
      <c r="K332" s="239">
        <v>2</v>
      </c>
      <c r="L332" s="34"/>
      <c r="M332" s="239">
        <v>10</v>
      </c>
      <c r="N332" s="239">
        <v>0</v>
      </c>
      <c r="O332" s="34"/>
      <c r="P332" s="239">
        <v>10</v>
      </c>
      <c r="Q332" s="239" t="s">
        <v>213</v>
      </c>
      <c r="R332" s="34"/>
      <c r="S332" s="238">
        <v>10</v>
      </c>
      <c r="T332" s="238" t="s">
        <v>213</v>
      </c>
      <c r="U332" s="34"/>
      <c r="V332" s="34"/>
      <c r="W332" s="34"/>
      <c r="X332" s="34"/>
      <c r="Y332" s="34"/>
      <c r="Z332" s="34"/>
    </row>
    <row r="333" spans="1:41" ht="15.75" customHeight="1" x14ac:dyDescent="0.2">
      <c r="A333" s="237">
        <v>11</v>
      </c>
      <c r="B333" s="237">
        <v>3</v>
      </c>
      <c r="C333" s="34"/>
      <c r="D333" s="237">
        <v>11</v>
      </c>
      <c r="E333" s="237">
        <v>3</v>
      </c>
      <c r="F333" s="34"/>
      <c r="G333" s="237">
        <v>11</v>
      </c>
      <c r="H333" s="237">
        <v>3</v>
      </c>
      <c r="I333" s="34"/>
      <c r="J333" s="237">
        <v>11</v>
      </c>
      <c r="K333" s="237">
        <v>3</v>
      </c>
      <c r="L333" s="13"/>
      <c r="M333" s="237">
        <v>11</v>
      </c>
      <c r="N333" s="237">
        <v>1</v>
      </c>
      <c r="O333" s="13"/>
      <c r="P333" s="237">
        <v>11</v>
      </c>
      <c r="Q333" s="237" t="s">
        <v>213</v>
      </c>
      <c r="R333" s="13"/>
      <c r="S333" s="238">
        <v>11</v>
      </c>
      <c r="T333" s="238" t="s">
        <v>213</v>
      </c>
      <c r="U333" s="13"/>
      <c r="V333" s="34"/>
      <c r="W333" s="34"/>
      <c r="X333" s="13"/>
      <c r="Y333" s="34"/>
      <c r="Z333" s="34"/>
      <c r="AE333" s="13" t="s">
        <v>461</v>
      </c>
      <c r="AF333" s="13" t="s">
        <v>466</v>
      </c>
      <c r="AH333" s="13" t="s">
        <v>461</v>
      </c>
      <c r="AI333" s="13" t="s">
        <v>467</v>
      </c>
      <c r="AK333" s="13" t="s">
        <v>461</v>
      </c>
      <c r="AL333" s="13" t="s">
        <v>468</v>
      </c>
      <c r="AN333" s="13" t="s">
        <v>461</v>
      </c>
      <c r="AO333" s="13" t="s">
        <v>469</v>
      </c>
    </row>
    <row r="334" spans="1:41" ht="15.75" customHeight="1" x14ac:dyDescent="0.2">
      <c r="A334" s="239">
        <v>12</v>
      </c>
      <c r="B334" s="239">
        <v>3</v>
      </c>
      <c r="C334" s="34"/>
      <c r="D334" s="239">
        <v>12</v>
      </c>
      <c r="E334" s="239">
        <v>3</v>
      </c>
      <c r="F334" s="34"/>
      <c r="G334" s="239">
        <v>12</v>
      </c>
      <c r="H334" s="239">
        <v>3</v>
      </c>
      <c r="I334" s="34"/>
      <c r="J334" s="239">
        <v>12</v>
      </c>
      <c r="K334" s="239">
        <v>3</v>
      </c>
      <c r="L334" s="13"/>
      <c r="M334" s="239">
        <v>12</v>
      </c>
      <c r="N334" s="239">
        <v>2</v>
      </c>
      <c r="O334" s="13"/>
      <c r="P334" s="239">
        <v>12</v>
      </c>
      <c r="Q334" s="239" t="s">
        <v>213</v>
      </c>
      <c r="R334" s="13"/>
      <c r="S334" s="238">
        <v>12</v>
      </c>
      <c r="T334" s="238" t="s">
        <v>213</v>
      </c>
      <c r="U334" s="13"/>
      <c r="V334" s="34"/>
      <c r="W334" s="34"/>
      <c r="X334" s="13"/>
      <c r="Y334" s="34"/>
      <c r="Z334" s="34"/>
      <c r="AE334" s="13" t="s">
        <v>264</v>
      </c>
      <c r="AF334" s="34" t="s">
        <v>688</v>
      </c>
      <c r="AH334" s="13" t="s">
        <v>264</v>
      </c>
      <c r="AI334" s="34" t="s">
        <v>688</v>
      </c>
      <c r="AK334" s="13" t="s">
        <v>264</v>
      </c>
      <c r="AL334" s="34" t="s">
        <v>688</v>
      </c>
      <c r="AN334" s="13" t="s">
        <v>264</v>
      </c>
      <c r="AO334" s="34" t="s">
        <v>213</v>
      </c>
    </row>
    <row r="335" spans="1:41" ht="15.75" customHeight="1" x14ac:dyDescent="0.2">
      <c r="A335" s="237">
        <v>13</v>
      </c>
      <c r="B335" s="237">
        <v>3</v>
      </c>
      <c r="C335" s="34"/>
      <c r="D335" s="237">
        <v>13</v>
      </c>
      <c r="E335" s="237">
        <v>3</v>
      </c>
      <c r="F335" s="34"/>
      <c r="G335" s="237">
        <v>13</v>
      </c>
      <c r="H335" s="237">
        <v>3</v>
      </c>
      <c r="I335" s="34"/>
      <c r="J335" s="237">
        <v>13</v>
      </c>
      <c r="K335" s="237">
        <v>3</v>
      </c>
      <c r="L335" s="13"/>
      <c r="M335" s="237">
        <v>13</v>
      </c>
      <c r="N335" s="237">
        <v>2</v>
      </c>
      <c r="O335" s="13"/>
      <c r="P335" s="237">
        <v>13</v>
      </c>
      <c r="Q335" s="237">
        <v>0</v>
      </c>
      <c r="R335" s="13"/>
      <c r="S335" s="238">
        <v>13</v>
      </c>
      <c r="T335" s="238" t="s">
        <v>213</v>
      </c>
      <c r="U335" s="13"/>
      <c r="V335" s="34"/>
      <c r="W335" s="34"/>
      <c r="X335" s="13"/>
      <c r="Y335" s="34"/>
      <c r="Z335" s="34"/>
      <c r="AE335" s="13" t="s">
        <v>265</v>
      </c>
      <c r="AF335" s="34" t="s">
        <v>688</v>
      </c>
      <c r="AH335" s="13" t="s">
        <v>265</v>
      </c>
      <c r="AI335" s="34" t="s">
        <v>688</v>
      </c>
      <c r="AK335" s="13" t="s">
        <v>265</v>
      </c>
      <c r="AL335" s="34" t="s">
        <v>688</v>
      </c>
      <c r="AN335" s="13" t="s">
        <v>265</v>
      </c>
      <c r="AO335" s="34" t="s">
        <v>688</v>
      </c>
    </row>
    <row r="336" spans="1:41" ht="15.75" customHeight="1" x14ac:dyDescent="0.2">
      <c r="A336" s="239">
        <v>14</v>
      </c>
      <c r="B336" s="239">
        <v>4</v>
      </c>
      <c r="C336" s="34"/>
      <c r="D336" s="239">
        <v>14</v>
      </c>
      <c r="E336" s="239">
        <v>3</v>
      </c>
      <c r="F336" s="34"/>
      <c r="G336" s="239">
        <v>14</v>
      </c>
      <c r="H336" s="239">
        <v>3</v>
      </c>
      <c r="I336" s="34"/>
      <c r="J336" s="239">
        <v>14</v>
      </c>
      <c r="K336" s="239">
        <v>3</v>
      </c>
      <c r="L336" s="13"/>
      <c r="M336" s="239">
        <v>14</v>
      </c>
      <c r="N336" s="239">
        <v>3</v>
      </c>
      <c r="O336" s="13"/>
      <c r="P336" s="239">
        <v>14</v>
      </c>
      <c r="Q336" s="239">
        <v>1</v>
      </c>
      <c r="R336" s="13"/>
      <c r="S336" s="238">
        <v>14</v>
      </c>
      <c r="T336" s="238" t="s">
        <v>213</v>
      </c>
      <c r="U336" s="13"/>
      <c r="V336" s="34"/>
      <c r="W336" s="34"/>
      <c r="X336" s="13"/>
      <c r="Y336" s="34"/>
      <c r="Z336" s="34"/>
      <c r="AE336" s="13" t="s">
        <v>266</v>
      </c>
      <c r="AF336" s="34" t="s">
        <v>688</v>
      </c>
      <c r="AH336" s="13" t="s">
        <v>266</v>
      </c>
      <c r="AI336" s="34" t="s">
        <v>688</v>
      </c>
      <c r="AK336" s="13" t="s">
        <v>266</v>
      </c>
      <c r="AL336" s="34" t="s">
        <v>688</v>
      </c>
      <c r="AN336" s="13" t="s">
        <v>266</v>
      </c>
      <c r="AO336" s="34" t="s">
        <v>688</v>
      </c>
    </row>
    <row r="337" spans="1:41" ht="15.75" customHeight="1" x14ac:dyDescent="0.2">
      <c r="A337" s="237">
        <v>15</v>
      </c>
      <c r="B337" s="237">
        <v>4</v>
      </c>
      <c r="C337" s="34"/>
      <c r="D337" s="237">
        <v>15</v>
      </c>
      <c r="E337" s="237">
        <v>4</v>
      </c>
      <c r="F337" s="34"/>
      <c r="G337" s="237">
        <v>15</v>
      </c>
      <c r="H337" s="237">
        <v>3</v>
      </c>
      <c r="I337" s="34"/>
      <c r="J337" s="237">
        <v>15</v>
      </c>
      <c r="K337" s="237">
        <v>3</v>
      </c>
      <c r="L337" s="13"/>
      <c r="M337" s="237">
        <v>15</v>
      </c>
      <c r="N337" s="237">
        <v>3</v>
      </c>
      <c r="O337" s="13"/>
      <c r="P337" s="237">
        <v>15</v>
      </c>
      <c r="Q337" s="237">
        <v>2</v>
      </c>
      <c r="R337" s="13"/>
      <c r="S337" s="238">
        <v>15</v>
      </c>
      <c r="T337" s="238" t="s">
        <v>213</v>
      </c>
      <c r="U337" s="13"/>
      <c r="V337" s="34"/>
      <c r="W337" s="34"/>
      <c r="X337" s="13"/>
      <c r="Y337" s="34"/>
      <c r="Z337" s="34"/>
      <c r="AE337" s="13" t="s">
        <v>267</v>
      </c>
      <c r="AF337" s="34" t="s">
        <v>688</v>
      </c>
      <c r="AH337" s="13" t="s">
        <v>267</v>
      </c>
      <c r="AI337" s="34" t="s">
        <v>213</v>
      </c>
      <c r="AK337" s="13" t="s">
        <v>267</v>
      </c>
      <c r="AL337" s="34" t="s">
        <v>213</v>
      </c>
      <c r="AN337" s="13" t="s">
        <v>267</v>
      </c>
      <c r="AO337" s="34" t="s">
        <v>213</v>
      </c>
    </row>
    <row r="338" spans="1:41" ht="15.75" customHeight="1" x14ac:dyDescent="0.2">
      <c r="A338" s="239">
        <v>16</v>
      </c>
      <c r="B338" s="239">
        <v>4</v>
      </c>
      <c r="C338" s="34"/>
      <c r="D338" s="239">
        <v>16</v>
      </c>
      <c r="E338" s="239">
        <v>4</v>
      </c>
      <c r="F338" s="34"/>
      <c r="G338" s="239">
        <v>16</v>
      </c>
      <c r="H338" s="239">
        <v>4</v>
      </c>
      <c r="I338" s="34"/>
      <c r="J338" s="239">
        <v>16</v>
      </c>
      <c r="K338" s="239">
        <v>3</v>
      </c>
      <c r="L338" s="13"/>
      <c r="M338" s="239">
        <v>16</v>
      </c>
      <c r="N338" s="239">
        <v>3</v>
      </c>
      <c r="O338" s="13"/>
      <c r="P338" s="239">
        <v>16</v>
      </c>
      <c r="Q338" s="239">
        <v>2</v>
      </c>
      <c r="R338" s="13"/>
      <c r="S338" s="238">
        <v>16</v>
      </c>
      <c r="T338" s="238">
        <v>0</v>
      </c>
      <c r="U338" s="13"/>
      <c r="V338" s="34"/>
      <c r="W338" s="34"/>
      <c r="X338" s="13"/>
      <c r="Y338" s="34"/>
      <c r="Z338" s="34"/>
      <c r="AE338" s="13" t="s">
        <v>272</v>
      </c>
      <c r="AF338" s="34" t="s">
        <v>688</v>
      </c>
      <c r="AH338" s="13" t="s">
        <v>272</v>
      </c>
      <c r="AI338" s="34" t="s">
        <v>213</v>
      </c>
      <c r="AK338" s="13" t="s">
        <v>272</v>
      </c>
      <c r="AL338" s="34" t="s">
        <v>213</v>
      </c>
      <c r="AN338" s="13" t="s">
        <v>272</v>
      </c>
      <c r="AO338" s="34" t="s">
        <v>213</v>
      </c>
    </row>
    <row r="339" spans="1:41" ht="15.75" customHeight="1" x14ac:dyDescent="0.2">
      <c r="A339" s="237">
        <v>17</v>
      </c>
      <c r="B339" s="237">
        <v>4</v>
      </c>
      <c r="C339" s="34"/>
      <c r="D339" s="237">
        <v>17</v>
      </c>
      <c r="E339" s="237">
        <v>4</v>
      </c>
      <c r="F339" s="34"/>
      <c r="G339" s="237">
        <v>17</v>
      </c>
      <c r="H339" s="237">
        <v>4</v>
      </c>
      <c r="I339" s="34"/>
      <c r="J339" s="237">
        <v>17</v>
      </c>
      <c r="K339" s="237">
        <v>4</v>
      </c>
      <c r="L339" s="13"/>
      <c r="M339" s="237">
        <v>17</v>
      </c>
      <c r="N339" s="237">
        <v>3</v>
      </c>
      <c r="O339" s="13"/>
      <c r="P339" s="237">
        <v>17</v>
      </c>
      <c r="Q339" s="237">
        <v>3</v>
      </c>
      <c r="R339" s="13"/>
      <c r="S339" s="238">
        <v>17</v>
      </c>
      <c r="T339" s="238">
        <v>1</v>
      </c>
      <c r="U339" s="13"/>
      <c r="V339" s="34"/>
      <c r="W339" s="34"/>
      <c r="X339" s="13"/>
      <c r="Y339" s="34"/>
      <c r="Z339" s="34"/>
      <c r="AE339" s="13" t="s">
        <v>270</v>
      </c>
      <c r="AF339" s="34" t="s">
        <v>688</v>
      </c>
      <c r="AH339" s="13" t="s">
        <v>270</v>
      </c>
      <c r="AI339" s="34" t="s">
        <v>688</v>
      </c>
      <c r="AK339" s="13" t="s">
        <v>270</v>
      </c>
      <c r="AL339" s="34" t="s">
        <v>688</v>
      </c>
      <c r="AN339" s="13" t="s">
        <v>270</v>
      </c>
      <c r="AO339" s="34" t="s">
        <v>688</v>
      </c>
    </row>
    <row r="340" spans="1:41" ht="15.75" customHeight="1" x14ac:dyDescent="0.2">
      <c r="A340" s="239">
        <v>18</v>
      </c>
      <c r="B340" s="239">
        <v>4</v>
      </c>
      <c r="C340" s="34"/>
      <c r="D340" s="239">
        <v>18</v>
      </c>
      <c r="E340" s="239">
        <v>4</v>
      </c>
      <c r="F340" s="34"/>
      <c r="G340" s="239">
        <v>18</v>
      </c>
      <c r="H340" s="239">
        <v>4</v>
      </c>
      <c r="I340" s="34"/>
      <c r="J340" s="239">
        <v>18</v>
      </c>
      <c r="K340" s="239">
        <v>4</v>
      </c>
      <c r="L340" s="13"/>
      <c r="M340" s="239">
        <v>18</v>
      </c>
      <c r="N340" s="239">
        <v>4</v>
      </c>
      <c r="O340" s="13"/>
      <c r="P340" s="239">
        <v>18</v>
      </c>
      <c r="Q340" s="239">
        <v>3</v>
      </c>
      <c r="R340" s="13"/>
      <c r="S340" s="238">
        <v>18</v>
      </c>
      <c r="T340" s="238">
        <v>2</v>
      </c>
      <c r="U340" s="13"/>
      <c r="V340" s="34"/>
      <c r="W340" s="34"/>
      <c r="X340" s="13"/>
      <c r="Y340" s="34"/>
      <c r="Z340" s="34"/>
      <c r="AE340" s="13" t="s">
        <v>269</v>
      </c>
      <c r="AF340" s="34" t="s">
        <v>688</v>
      </c>
      <c r="AH340" s="13" t="s">
        <v>269</v>
      </c>
      <c r="AI340" s="34" t="s">
        <v>688</v>
      </c>
      <c r="AK340" s="13" t="s">
        <v>269</v>
      </c>
      <c r="AL340" s="34" t="s">
        <v>688</v>
      </c>
      <c r="AN340" s="13" t="s">
        <v>269</v>
      </c>
      <c r="AO340" s="34" t="s">
        <v>688</v>
      </c>
    </row>
    <row r="341" spans="1:41" ht="15.75" customHeight="1" x14ac:dyDescent="0.2">
      <c r="A341" s="237">
        <v>19</v>
      </c>
      <c r="B341" s="237">
        <v>4</v>
      </c>
      <c r="C341" s="34"/>
      <c r="D341" s="237">
        <v>19</v>
      </c>
      <c r="E341" s="237">
        <v>4</v>
      </c>
      <c r="F341" s="34"/>
      <c r="G341" s="237">
        <v>19</v>
      </c>
      <c r="H341" s="237">
        <v>4</v>
      </c>
      <c r="I341" s="34"/>
      <c r="J341" s="237">
        <v>19</v>
      </c>
      <c r="K341" s="237">
        <v>4</v>
      </c>
      <c r="L341" s="13"/>
      <c r="M341" s="237">
        <v>19</v>
      </c>
      <c r="N341" s="237">
        <v>4</v>
      </c>
      <c r="O341" s="13"/>
      <c r="P341" s="237">
        <v>19</v>
      </c>
      <c r="Q341" s="237">
        <v>4</v>
      </c>
      <c r="R341" s="13"/>
      <c r="S341" s="238">
        <v>19</v>
      </c>
      <c r="T341" s="238">
        <v>3</v>
      </c>
      <c r="U341" s="13"/>
      <c r="V341" s="34"/>
      <c r="W341" s="34"/>
      <c r="X341" s="13"/>
      <c r="Y341" s="34"/>
      <c r="Z341" s="34"/>
      <c r="AE341" s="13" t="s">
        <v>213</v>
      </c>
      <c r="AF341" s="34" t="s">
        <v>213</v>
      </c>
      <c r="AH341" s="13" t="s">
        <v>213</v>
      </c>
      <c r="AI341" s="34" t="s">
        <v>213</v>
      </c>
      <c r="AK341" s="13" t="s">
        <v>213</v>
      </c>
      <c r="AL341" s="34" t="s">
        <v>213</v>
      </c>
      <c r="AN341" s="13" t="s">
        <v>213</v>
      </c>
      <c r="AO341" s="34" t="s">
        <v>213</v>
      </c>
    </row>
    <row r="342" spans="1:41" ht="15.75" customHeight="1" x14ac:dyDescent="0.2">
      <c r="A342" s="239">
        <v>20</v>
      </c>
      <c r="B342" s="239">
        <v>4</v>
      </c>
      <c r="C342" s="34"/>
      <c r="D342" s="239">
        <v>20</v>
      </c>
      <c r="E342" s="239">
        <v>4</v>
      </c>
      <c r="F342" s="34"/>
      <c r="G342" s="239">
        <v>20</v>
      </c>
      <c r="H342" s="239">
        <v>4</v>
      </c>
      <c r="I342" s="34"/>
      <c r="J342" s="239">
        <v>20</v>
      </c>
      <c r="K342" s="239">
        <v>4</v>
      </c>
      <c r="L342" s="13"/>
      <c r="M342" s="239">
        <v>20</v>
      </c>
      <c r="N342" s="239">
        <v>4</v>
      </c>
      <c r="O342" s="13"/>
      <c r="P342" s="239">
        <v>20</v>
      </c>
      <c r="Q342" s="239">
        <v>4</v>
      </c>
      <c r="R342" s="13"/>
      <c r="S342" s="240">
        <v>20</v>
      </c>
      <c r="T342" s="240">
        <v>4</v>
      </c>
      <c r="U342" s="13"/>
      <c r="V342" s="34"/>
      <c r="W342" s="34"/>
      <c r="X342" s="13"/>
      <c r="Y342" s="34"/>
      <c r="Z342" s="34"/>
    </row>
    <row r="343" spans="1:41" ht="15.75" customHeight="1" x14ac:dyDescent="0.2">
      <c r="AE343" s="13" t="s">
        <v>461</v>
      </c>
      <c r="AF343" s="13" t="s">
        <v>470</v>
      </c>
      <c r="AH343" s="13" t="s">
        <v>461</v>
      </c>
      <c r="AI343" s="13" t="s">
        <v>471</v>
      </c>
    </row>
    <row r="344" spans="1:41" ht="15.75" customHeight="1" x14ac:dyDescent="0.2">
      <c r="A344" s="455" t="s">
        <v>472</v>
      </c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13"/>
      <c r="M344" s="13"/>
      <c r="N344" s="13"/>
      <c r="O344" s="13"/>
      <c r="P344" s="13"/>
      <c r="Q344" s="13"/>
      <c r="R344" s="13"/>
      <c r="S344" s="13"/>
      <c r="T344" s="13"/>
      <c r="AE344" s="13" t="s">
        <v>264</v>
      </c>
      <c r="AF344" s="34" t="s">
        <v>213</v>
      </c>
      <c r="AH344" s="13" t="s">
        <v>264</v>
      </c>
      <c r="AI344" s="34" t="s">
        <v>213</v>
      </c>
    </row>
    <row r="345" spans="1:41" ht="15.75" customHeight="1" x14ac:dyDescent="0.2">
      <c r="A345" s="47" t="s">
        <v>473</v>
      </c>
      <c r="B345" s="47" t="s">
        <v>454</v>
      </c>
      <c r="C345" s="62"/>
      <c r="D345" s="47" t="s">
        <v>473</v>
      </c>
      <c r="E345" s="47" t="s">
        <v>455</v>
      </c>
      <c r="F345" s="62"/>
      <c r="G345" s="47" t="s">
        <v>473</v>
      </c>
      <c r="H345" s="47" t="s">
        <v>456</v>
      </c>
      <c r="I345" s="62"/>
      <c r="J345" s="47" t="s">
        <v>473</v>
      </c>
      <c r="K345" s="47" t="s">
        <v>457</v>
      </c>
      <c r="L345" s="62"/>
      <c r="M345" s="47" t="s">
        <v>473</v>
      </c>
      <c r="N345" s="47" t="s">
        <v>458</v>
      </c>
      <c r="O345" s="62"/>
      <c r="P345" s="47" t="s">
        <v>473</v>
      </c>
      <c r="Q345" s="47" t="s">
        <v>459</v>
      </c>
      <c r="R345" s="62"/>
      <c r="S345" s="47" t="s">
        <v>473</v>
      </c>
      <c r="T345" s="236" t="s">
        <v>460</v>
      </c>
      <c r="V345" s="47" t="s">
        <v>473</v>
      </c>
      <c r="W345" s="236" t="s">
        <v>474</v>
      </c>
      <c r="Y345" s="47" t="s">
        <v>473</v>
      </c>
      <c r="Z345" s="236" t="s">
        <v>475</v>
      </c>
      <c r="AB345" s="47" t="s">
        <v>473</v>
      </c>
      <c r="AC345" s="236" t="s">
        <v>476</v>
      </c>
      <c r="AE345" s="13" t="s">
        <v>265</v>
      </c>
      <c r="AF345" s="34" t="s">
        <v>688</v>
      </c>
      <c r="AH345" s="13" t="s">
        <v>265</v>
      </c>
      <c r="AI345" s="34" t="s">
        <v>688</v>
      </c>
    </row>
    <row r="346" spans="1:41" ht="15.75" customHeight="1" x14ac:dyDescent="0.2">
      <c r="A346" s="34">
        <v>1</v>
      </c>
      <c r="B346" s="34">
        <v>3</v>
      </c>
      <c r="C346" s="34"/>
      <c r="D346" s="34">
        <v>1</v>
      </c>
      <c r="E346" s="34">
        <v>1</v>
      </c>
      <c r="F346" s="34"/>
      <c r="G346" s="34">
        <v>1</v>
      </c>
      <c r="H346" s="34" t="s">
        <v>213</v>
      </c>
      <c r="I346" s="34"/>
      <c r="J346" s="34">
        <v>1</v>
      </c>
      <c r="K346" s="34" t="s">
        <v>213</v>
      </c>
      <c r="L346" s="34"/>
      <c r="M346" s="34">
        <v>1</v>
      </c>
      <c r="N346" s="34" t="s">
        <v>213</v>
      </c>
      <c r="O346" s="34"/>
      <c r="P346" s="34">
        <v>1</v>
      </c>
      <c r="Q346" s="34" t="s">
        <v>213</v>
      </c>
      <c r="R346" s="34"/>
      <c r="S346" s="238">
        <v>1</v>
      </c>
      <c r="T346" s="238" t="s">
        <v>213</v>
      </c>
      <c r="V346" s="238">
        <v>1</v>
      </c>
      <c r="W346" s="238" t="s">
        <v>213</v>
      </c>
      <c r="Y346" s="238">
        <v>1</v>
      </c>
      <c r="Z346" s="238" t="s">
        <v>213</v>
      </c>
      <c r="AB346" s="238">
        <v>1</v>
      </c>
      <c r="AC346" s="238" t="s">
        <v>213</v>
      </c>
      <c r="AE346" s="13" t="s">
        <v>266</v>
      </c>
      <c r="AF346" s="34" t="s">
        <v>688</v>
      </c>
      <c r="AH346" s="13" t="s">
        <v>266</v>
      </c>
      <c r="AI346" s="34" t="s">
        <v>688</v>
      </c>
    </row>
    <row r="347" spans="1:41" ht="15.75" customHeight="1" x14ac:dyDescent="0.2">
      <c r="A347" s="34">
        <v>2</v>
      </c>
      <c r="B347" s="34">
        <v>4</v>
      </c>
      <c r="C347" s="34"/>
      <c r="D347" s="34">
        <v>2</v>
      </c>
      <c r="E347" s="34">
        <v>2</v>
      </c>
      <c r="F347" s="34"/>
      <c r="G347" s="34">
        <v>2</v>
      </c>
      <c r="H347" s="34" t="s">
        <v>213</v>
      </c>
      <c r="I347" s="34"/>
      <c r="J347" s="34">
        <v>2</v>
      </c>
      <c r="K347" s="34" t="s">
        <v>213</v>
      </c>
      <c r="L347" s="34"/>
      <c r="M347" s="34">
        <v>2</v>
      </c>
      <c r="N347" s="34" t="s">
        <v>213</v>
      </c>
      <c r="O347" s="34"/>
      <c r="P347" s="34">
        <v>2</v>
      </c>
      <c r="Q347" s="34" t="s">
        <v>213</v>
      </c>
      <c r="R347" s="34"/>
      <c r="S347" s="238">
        <v>2</v>
      </c>
      <c r="T347" s="238" t="s">
        <v>213</v>
      </c>
      <c r="V347" s="238">
        <v>2</v>
      </c>
      <c r="W347" s="238" t="s">
        <v>213</v>
      </c>
      <c r="Y347" s="238">
        <v>2</v>
      </c>
      <c r="Z347" s="238" t="s">
        <v>213</v>
      </c>
      <c r="AB347" s="238">
        <v>2</v>
      </c>
      <c r="AC347" s="238" t="s">
        <v>213</v>
      </c>
      <c r="AE347" s="13" t="s">
        <v>267</v>
      </c>
      <c r="AF347" s="34" t="s">
        <v>213</v>
      </c>
      <c r="AH347" s="13" t="s">
        <v>267</v>
      </c>
      <c r="AI347" s="34" t="s">
        <v>213</v>
      </c>
    </row>
    <row r="348" spans="1:41" ht="15.75" customHeight="1" x14ac:dyDescent="0.2">
      <c r="A348" s="34">
        <v>3</v>
      </c>
      <c r="B348" s="34">
        <v>4</v>
      </c>
      <c r="C348" s="34"/>
      <c r="D348" s="34">
        <v>3</v>
      </c>
      <c r="E348" s="34">
        <v>2</v>
      </c>
      <c r="F348" s="34"/>
      <c r="G348" s="34">
        <v>3</v>
      </c>
      <c r="H348" s="34">
        <v>1</v>
      </c>
      <c r="I348" s="34"/>
      <c r="J348" s="34">
        <v>3</v>
      </c>
      <c r="K348" s="34" t="s">
        <v>213</v>
      </c>
      <c r="L348" s="34"/>
      <c r="M348" s="34">
        <v>3</v>
      </c>
      <c r="N348" s="34" t="s">
        <v>213</v>
      </c>
      <c r="O348" s="34"/>
      <c r="P348" s="34">
        <v>3</v>
      </c>
      <c r="Q348" s="34" t="s">
        <v>213</v>
      </c>
      <c r="R348" s="34"/>
      <c r="S348" s="238">
        <v>3</v>
      </c>
      <c r="T348" s="238" t="s">
        <v>213</v>
      </c>
      <c r="V348" s="238">
        <v>3</v>
      </c>
      <c r="W348" s="238" t="s">
        <v>213</v>
      </c>
      <c r="Y348" s="238">
        <v>3</v>
      </c>
      <c r="Z348" s="238" t="s">
        <v>213</v>
      </c>
      <c r="AB348" s="238">
        <v>3</v>
      </c>
      <c r="AC348" s="238" t="s">
        <v>213</v>
      </c>
      <c r="AE348" s="13" t="s">
        <v>272</v>
      </c>
      <c r="AF348" s="34" t="s">
        <v>213</v>
      </c>
      <c r="AH348" s="13" t="s">
        <v>272</v>
      </c>
      <c r="AI348" s="34" t="s">
        <v>213</v>
      </c>
    </row>
    <row r="349" spans="1:41" ht="15.75" customHeight="1" x14ac:dyDescent="0.2">
      <c r="A349" s="34">
        <v>4</v>
      </c>
      <c r="B349" s="34">
        <v>5</v>
      </c>
      <c r="C349" s="34"/>
      <c r="D349" s="34">
        <v>4</v>
      </c>
      <c r="E349" s="34">
        <v>3</v>
      </c>
      <c r="F349" s="34"/>
      <c r="G349" s="34">
        <v>4</v>
      </c>
      <c r="H349" s="34">
        <v>2</v>
      </c>
      <c r="I349" s="34"/>
      <c r="J349" s="34">
        <v>4</v>
      </c>
      <c r="K349" s="34" t="s">
        <v>213</v>
      </c>
      <c r="L349" s="34"/>
      <c r="M349" s="34">
        <v>4</v>
      </c>
      <c r="N349" s="34" t="s">
        <v>213</v>
      </c>
      <c r="O349" s="34"/>
      <c r="P349" s="34">
        <v>4</v>
      </c>
      <c r="Q349" s="34" t="s">
        <v>213</v>
      </c>
      <c r="R349" s="34"/>
      <c r="S349" s="238">
        <v>4</v>
      </c>
      <c r="T349" s="238" t="s">
        <v>213</v>
      </c>
      <c r="V349" s="238">
        <v>4</v>
      </c>
      <c r="W349" s="238" t="s">
        <v>213</v>
      </c>
      <c r="Y349" s="238">
        <v>4</v>
      </c>
      <c r="Z349" s="238" t="s">
        <v>213</v>
      </c>
      <c r="AB349" s="238">
        <v>4</v>
      </c>
      <c r="AC349" s="238" t="s">
        <v>213</v>
      </c>
      <c r="AE349" s="13" t="s">
        <v>270</v>
      </c>
      <c r="AF349" s="34" t="s">
        <v>688</v>
      </c>
      <c r="AH349" s="13" t="s">
        <v>270</v>
      </c>
      <c r="AI349" s="34" t="s">
        <v>688</v>
      </c>
    </row>
    <row r="350" spans="1:41" ht="15.75" customHeight="1" x14ac:dyDescent="0.2">
      <c r="A350" s="34">
        <v>5</v>
      </c>
      <c r="B350" s="34">
        <v>5</v>
      </c>
      <c r="C350" s="34"/>
      <c r="D350" s="34">
        <v>5</v>
      </c>
      <c r="E350" s="34">
        <v>3</v>
      </c>
      <c r="F350" s="34"/>
      <c r="G350" s="34">
        <v>5</v>
      </c>
      <c r="H350" s="34">
        <v>2</v>
      </c>
      <c r="I350" s="34"/>
      <c r="J350" s="34">
        <v>5</v>
      </c>
      <c r="K350" s="34">
        <v>1</v>
      </c>
      <c r="L350" s="34"/>
      <c r="M350" s="34">
        <v>5</v>
      </c>
      <c r="N350" s="34" t="s">
        <v>213</v>
      </c>
      <c r="O350" s="34"/>
      <c r="P350" s="34">
        <v>5</v>
      </c>
      <c r="Q350" s="34" t="s">
        <v>213</v>
      </c>
      <c r="R350" s="34"/>
      <c r="S350" s="238">
        <v>5</v>
      </c>
      <c r="T350" s="238" t="s">
        <v>213</v>
      </c>
      <c r="V350" s="238">
        <v>5</v>
      </c>
      <c r="W350" s="238" t="s">
        <v>213</v>
      </c>
      <c r="Y350" s="238">
        <v>5</v>
      </c>
      <c r="Z350" s="238" t="s">
        <v>213</v>
      </c>
      <c r="AB350" s="238">
        <v>5</v>
      </c>
      <c r="AC350" s="238" t="s">
        <v>213</v>
      </c>
      <c r="AE350" s="13" t="s">
        <v>269</v>
      </c>
      <c r="AF350" s="34" t="s">
        <v>688</v>
      </c>
      <c r="AH350" s="13" t="s">
        <v>269</v>
      </c>
      <c r="AI350" s="34" t="s">
        <v>688</v>
      </c>
    </row>
    <row r="351" spans="1:41" ht="15.75" customHeight="1" x14ac:dyDescent="0.2">
      <c r="A351" s="34">
        <v>6</v>
      </c>
      <c r="B351" s="34">
        <v>5</v>
      </c>
      <c r="C351" s="34"/>
      <c r="D351" s="34">
        <v>6</v>
      </c>
      <c r="E351" s="34">
        <v>3</v>
      </c>
      <c r="F351" s="34"/>
      <c r="G351" s="34">
        <v>6</v>
      </c>
      <c r="H351" s="34">
        <v>3</v>
      </c>
      <c r="I351" s="34"/>
      <c r="J351" s="34">
        <v>6</v>
      </c>
      <c r="K351" s="34">
        <v>2</v>
      </c>
      <c r="L351" s="34"/>
      <c r="M351" s="34">
        <v>6</v>
      </c>
      <c r="N351" s="34" t="s">
        <v>213</v>
      </c>
      <c r="O351" s="34"/>
      <c r="P351" s="34">
        <v>6</v>
      </c>
      <c r="Q351" s="34" t="s">
        <v>213</v>
      </c>
      <c r="R351" s="34"/>
      <c r="S351" s="238">
        <v>6</v>
      </c>
      <c r="T351" s="238" t="s">
        <v>213</v>
      </c>
      <c r="V351" s="238">
        <v>6</v>
      </c>
      <c r="W351" s="238" t="s">
        <v>213</v>
      </c>
      <c r="Y351" s="238">
        <v>6</v>
      </c>
      <c r="Z351" s="238" t="s">
        <v>213</v>
      </c>
      <c r="AB351" s="238">
        <v>6</v>
      </c>
      <c r="AC351" s="238" t="s">
        <v>213</v>
      </c>
      <c r="AE351" s="13" t="s">
        <v>213</v>
      </c>
      <c r="AF351" s="34" t="s">
        <v>213</v>
      </c>
      <c r="AH351" s="13" t="s">
        <v>213</v>
      </c>
      <c r="AI351" s="34" t="s">
        <v>213</v>
      </c>
    </row>
    <row r="352" spans="1:41" ht="15.75" customHeight="1" x14ac:dyDescent="0.2">
      <c r="A352" s="34">
        <v>7</v>
      </c>
      <c r="B352" s="34">
        <v>6</v>
      </c>
      <c r="C352" s="34"/>
      <c r="D352" s="34">
        <v>7</v>
      </c>
      <c r="E352" s="34">
        <v>4</v>
      </c>
      <c r="F352" s="34"/>
      <c r="G352" s="34">
        <v>7</v>
      </c>
      <c r="H352" s="34">
        <v>3</v>
      </c>
      <c r="I352" s="34"/>
      <c r="J352" s="34">
        <v>7</v>
      </c>
      <c r="K352" s="34">
        <v>2</v>
      </c>
      <c r="L352" s="34"/>
      <c r="M352" s="34">
        <v>7</v>
      </c>
      <c r="N352" s="34">
        <v>1</v>
      </c>
      <c r="O352" s="34"/>
      <c r="P352" s="34">
        <v>7</v>
      </c>
      <c r="Q352" s="34" t="s">
        <v>213</v>
      </c>
      <c r="R352" s="34"/>
      <c r="S352" s="238">
        <v>7</v>
      </c>
      <c r="T352" s="238" t="s">
        <v>213</v>
      </c>
      <c r="V352" s="238">
        <v>7</v>
      </c>
      <c r="W352" s="238" t="s">
        <v>213</v>
      </c>
      <c r="Y352" s="238">
        <v>7</v>
      </c>
      <c r="Z352" s="238" t="s">
        <v>213</v>
      </c>
      <c r="AB352" s="238">
        <v>7</v>
      </c>
      <c r="AC352" s="238" t="s">
        <v>213</v>
      </c>
    </row>
    <row r="353" spans="1:29" ht="15.75" customHeight="1" x14ac:dyDescent="0.2">
      <c r="A353" s="34">
        <v>8</v>
      </c>
      <c r="B353" s="34">
        <v>6</v>
      </c>
      <c r="C353" s="34"/>
      <c r="D353" s="34">
        <v>8</v>
      </c>
      <c r="E353" s="34">
        <v>4</v>
      </c>
      <c r="F353" s="34"/>
      <c r="G353" s="34">
        <v>8</v>
      </c>
      <c r="H353" s="34">
        <v>3</v>
      </c>
      <c r="I353" s="34"/>
      <c r="J353" s="34">
        <v>8</v>
      </c>
      <c r="K353" s="34">
        <v>3</v>
      </c>
      <c r="L353" s="34"/>
      <c r="M353" s="34">
        <v>8</v>
      </c>
      <c r="N353" s="34">
        <v>2</v>
      </c>
      <c r="O353" s="34"/>
      <c r="P353" s="34">
        <v>8</v>
      </c>
      <c r="Q353" s="34" t="s">
        <v>213</v>
      </c>
      <c r="R353" s="34"/>
      <c r="S353" s="238">
        <v>8</v>
      </c>
      <c r="T353" s="238" t="s">
        <v>213</v>
      </c>
      <c r="V353" s="238">
        <v>8</v>
      </c>
      <c r="W353" s="238" t="s">
        <v>213</v>
      </c>
      <c r="Y353" s="238">
        <v>8</v>
      </c>
      <c r="Z353" s="238" t="s">
        <v>213</v>
      </c>
      <c r="AB353" s="238">
        <v>8</v>
      </c>
      <c r="AC353" s="238" t="s">
        <v>213</v>
      </c>
    </row>
    <row r="354" spans="1:29" ht="15.75" customHeight="1" x14ac:dyDescent="0.2">
      <c r="A354" s="34">
        <v>9</v>
      </c>
      <c r="B354" s="34">
        <v>6</v>
      </c>
      <c r="C354" s="34"/>
      <c r="D354" s="34">
        <v>9</v>
      </c>
      <c r="E354" s="34">
        <v>4</v>
      </c>
      <c r="F354" s="34"/>
      <c r="G354" s="34">
        <v>9</v>
      </c>
      <c r="H354" s="34">
        <v>4</v>
      </c>
      <c r="I354" s="34"/>
      <c r="J354" s="34">
        <v>9</v>
      </c>
      <c r="K354" s="34">
        <v>3</v>
      </c>
      <c r="L354" s="34"/>
      <c r="M354" s="34">
        <v>9</v>
      </c>
      <c r="N354" s="34">
        <v>2</v>
      </c>
      <c r="O354" s="34"/>
      <c r="P354" s="34">
        <v>9</v>
      </c>
      <c r="Q354" s="34">
        <v>1</v>
      </c>
      <c r="R354" s="34"/>
      <c r="S354" s="238">
        <v>9</v>
      </c>
      <c r="T354" s="238" t="s">
        <v>213</v>
      </c>
      <c r="V354" s="238">
        <v>9</v>
      </c>
      <c r="W354" s="238" t="s">
        <v>213</v>
      </c>
      <c r="Y354" s="238">
        <v>9</v>
      </c>
      <c r="Z354" s="238" t="s">
        <v>213</v>
      </c>
      <c r="AB354" s="238">
        <v>9</v>
      </c>
      <c r="AC354" s="238" t="s">
        <v>213</v>
      </c>
    </row>
    <row r="355" spans="1:29" ht="15.75" customHeight="1" x14ac:dyDescent="0.2">
      <c r="A355" s="34">
        <v>10</v>
      </c>
      <c r="B355" s="34">
        <v>6</v>
      </c>
      <c r="C355" s="34"/>
      <c r="D355" s="34">
        <v>10</v>
      </c>
      <c r="E355" s="34">
        <v>4</v>
      </c>
      <c r="F355" s="34"/>
      <c r="G355" s="34">
        <v>10</v>
      </c>
      <c r="H355" s="34">
        <v>4</v>
      </c>
      <c r="I355" s="34"/>
      <c r="J355" s="34">
        <v>10</v>
      </c>
      <c r="K355" s="34">
        <v>3</v>
      </c>
      <c r="L355" s="34"/>
      <c r="M355" s="34">
        <v>10</v>
      </c>
      <c r="N355" s="34">
        <v>3</v>
      </c>
      <c r="O355" s="34"/>
      <c r="P355" s="34">
        <v>10</v>
      </c>
      <c r="Q355" s="34">
        <v>2</v>
      </c>
      <c r="R355" s="34"/>
      <c r="S355" s="238">
        <v>10</v>
      </c>
      <c r="T355" s="238" t="s">
        <v>213</v>
      </c>
      <c r="V355" s="238">
        <v>10</v>
      </c>
      <c r="W355" s="238" t="s">
        <v>213</v>
      </c>
      <c r="Y355" s="238">
        <v>10</v>
      </c>
      <c r="Z355" s="238" t="s">
        <v>213</v>
      </c>
      <c r="AB355" s="238">
        <v>10</v>
      </c>
      <c r="AC355" s="238" t="s">
        <v>213</v>
      </c>
    </row>
    <row r="356" spans="1:29" ht="15.75" customHeight="1" x14ac:dyDescent="0.2">
      <c r="A356" s="34">
        <v>11</v>
      </c>
      <c r="B356" s="34">
        <v>6</v>
      </c>
      <c r="C356" s="34"/>
      <c r="D356" s="34">
        <v>11</v>
      </c>
      <c r="E356" s="34">
        <v>5</v>
      </c>
      <c r="F356" s="34"/>
      <c r="G356" s="34">
        <v>11</v>
      </c>
      <c r="H356" s="34">
        <v>4</v>
      </c>
      <c r="I356" s="34"/>
      <c r="J356" s="34">
        <v>11</v>
      </c>
      <c r="K356" s="34">
        <v>4</v>
      </c>
      <c r="L356" s="13"/>
      <c r="M356" s="34">
        <v>11</v>
      </c>
      <c r="N356" s="34">
        <v>3</v>
      </c>
      <c r="O356" s="13"/>
      <c r="P356" s="34">
        <v>11</v>
      </c>
      <c r="Q356" s="34">
        <v>2</v>
      </c>
      <c r="R356" s="13"/>
      <c r="S356" s="238">
        <v>11</v>
      </c>
      <c r="T356" s="238">
        <v>1</v>
      </c>
      <c r="V356" s="238">
        <v>11</v>
      </c>
      <c r="W356" s="238" t="s">
        <v>213</v>
      </c>
      <c r="Y356" s="238">
        <v>11</v>
      </c>
      <c r="Z356" s="238" t="s">
        <v>213</v>
      </c>
      <c r="AB356" s="238">
        <v>11</v>
      </c>
      <c r="AC356" s="238" t="s">
        <v>213</v>
      </c>
    </row>
    <row r="357" spans="1:29" ht="15.75" customHeight="1" x14ac:dyDescent="0.2">
      <c r="A357" s="34">
        <v>12</v>
      </c>
      <c r="B357" s="34">
        <v>6</v>
      </c>
      <c r="C357" s="34"/>
      <c r="D357" s="34">
        <v>12</v>
      </c>
      <c r="E357" s="34">
        <v>5</v>
      </c>
      <c r="F357" s="34"/>
      <c r="G357" s="34">
        <v>12</v>
      </c>
      <c r="H357" s="34">
        <v>4</v>
      </c>
      <c r="I357" s="34"/>
      <c r="J357" s="34">
        <v>12</v>
      </c>
      <c r="K357" s="34">
        <v>4</v>
      </c>
      <c r="L357" s="13"/>
      <c r="M357" s="34">
        <v>12</v>
      </c>
      <c r="N357" s="34">
        <v>3</v>
      </c>
      <c r="O357" s="13"/>
      <c r="P357" s="34">
        <v>12</v>
      </c>
      <c r="Q357" s="34">
        <v>3</v>
      </c>
      <c r="R357" s="13"/>
      <c r="S357" s="238">
        <v>12</v>
      </c>
      <c r="T357" s="238">
        <v>2</v>
      </c>
      <c r="V357" s="238">
        <v>12</v>
      </c>
      <c r="W357" s="238" t="s">
        <v>213</v>
      </c>
      <c r="Y357" s="238">
        <v>12</v>
      </c>
      <c r="Z357" s="238" t="s">
        <v>213</v>
      </c>
      <c r="AB357" s="238">
        <v>12</v>
      </c>
      <c r="AC357" s="238" t="s">
        <v>213</v>
      </c>
    </row>
    <row r="358" spans="1:29" ht="15.75" customHeight="1" x14ac:dyDescent="0.2">
      <c r="A358" s="34">
        <v>13</v>
      </c>
      <c r="B358" s="34">
        <v>6</v>
      </c>
      <c r="C358" s="34"/>
      <c r="D358" s="34">
        <v>13</v>
      </c>
      <c r="E358" s="34">
        <v>5</v>
      </c>
      <c r="F358" s="34"/>
      <c r="G358" s="34">
        <v>13</v>
      </c>
      <c r="H358" s="34">
        <v>5</v>
      </c>
      <c r="I358" s="34"/>
      <c r="J358" s="34">
        <v>13</v>
      </c>
      <c r="K358" s="34">
        <v>4</v>
      </c>
      <c r="L358" s="13"/>
      <c r="M358" s="34">
        <v>13</v>
      </c>
      <c r="N358" s="34">
        <v>4</v>
      </c>
      <c r="O358" s="13"/>
      <c r="P358" s="34">
        <v>13</v>
      </c>
      <c r="Q358" s="34">
        <v>3</v>
      </c>
      <c r="R358" s="13"/>
      <c r="S358" s="238">
        <v>13</v>
      </c>
      <c r="T358" s="238">
        <v>2</v>
      </c>
      <c r="V358" s="238">
        <v>13</v>
      </c>
      <c r="W358" s="238">
        <v>1</v>
      </c>
      <c r="Y358" s="238">
        <v>13</v>
      </c>
      <c r="Z358" s="238" t="s">
        <v>213</v>
      </c>
      <c r="AB358" s="238">
        <v>13</v>
      </c>
      <c r="AC358" s="238" t="s">
        <v>213</v>
      </c>
    </row>
    <row r="359" spans="1:29" ht="15.75" customHeight="1" x14ac:dyDescent="0.2">
      <c r="A359" s="34">
        <v>14</v>
      </c>
      <c r="B359" s="34">
        <v>6</v>
      </c>
      <c r="C359" s="34"/>
      <c r="D359" s="34">
        <v>14</v>
      </c>
      <c r="E359" s="34">
        <v>5</v>
      </c>
      <c r="F359" s="34"/>
      <c r="G359" s="34">
        <v>14</v>
      </c>
      <c r="H359" s="34">
        <v>5</v>
      </c>
      <c r="I359" s="34"/>
      <c r="J359" s="34">
        <v>14</v>
      </c>
      <c r="K359" s="34">
        <v>4</v>
      </c>
      <c r="L359" s="13"/>
      <c r="M359" s="34">
        <v>14</v>
      </c>
      <c r="N359" s="34">
        <v>4</v>
      </c>
      <c r="O359" s="13"/>
      <c r="P359" s="34">
        <v>14</v>
      </c>
      <c r="Q359" s="34">
        <v>3</v>
      </c>
      <c r="R359" s="13"/>
      <c r="S359" s="238">
        <v>14</v>
      </c>
      <c r="T359" s="238">
        <v>3</v>
      </c>
      <c r="V359" s="238">
        <v>14</v>
      </c>
      <c r="W359" s="238">
        <v>2</v>
      </c>
      <c r="Y359" s="238">
        <v>14</v>
      </c>
      <c r="Z359" s="238" t="s">
        <v>213</v>
      </c>
      <c r="AB359" s="238">
        <v>14</v>
      </c>
      <c r="AC359" s="238" t="s">
        <v>213</v>
      </c>
    </row>
    <row r="360" spans="1:29" ht="15.75" customHeight="1" x14ac:dyDescent="0.2">
      <c r="A360" s="34">
        <v>15</v>
      </c>
      <c r="B360" s="34">
        <v>6</v>
      </c>
      <c r="C360" s="34"/>
      <c r="D360" s="34">
        <v>15</v>
      </c>
      <c r="E360" s="34">
        <v>5</v>
      </c>
      <c r="F360" s="34"/>
      <c r="G360" s="34">
        <v>15</v>
      </c>
      <c r="H360" s="34">
        <v>5</v>
      </c>
      <c r="I360" s="34"/>
      <c r="J360" s="34">
        <v>15</v>
      </c>
      <c r="K360" s="34">
        <v>5</v>
      </c>
      <c r="L360" s="13"/>
      <c r="M360" s="34">
        <v>15</v>
      </c>
      <c r="N360" s="34">
        <v>4</v>
      </c>
      <c r="O360" s="13"/>
      <c r="P360" s="34">
        <v>15</v>
      </c>
      <c r="Q360" s="34">
        <v>4</v>
      </c>
      <c r="R360" s="13"/>
      <c r="S360" s="238">
        <v>15</v>
      </c>
      <c r="T360" s="238">
        <v>3</v>
      </c>
      <c r="V360" s="238">
        <v>15</v>
      </c>
      <c r="W360" s="238">
        <v>2</v>
      </c>
      <c r="Y360" s="238">
        <v>15</v>
      </c>
      <c r="Z360" s="238">
        <v>1</v>
      </c>
      <c r="AB360" s="238">
        <v>15</v>
      </c>
      <c r="AC360" s="238" t="s">
        <v>213</v>
      </c>
    </row>
    <row r="361" spans="1:29" ht="15.75" customHeight="1" x14ac:dyDescent="0.2">
      <c r="A361" s="34">
        <v>16</v>
      </c>
      <c r="B361" s="34">
        <v>6</v>
      </c>
      <c r="C361" s="34"/>
      <c r="D361" s="34">
        <v>16</v>
      </c>
      <c r="E361" s="34">
        <v>5</v>
      </c>
      <c r="F361" s="34"/>
      <c r="G361" s="34">
        <v>16</v>
      </c>
      <c r="H361" s="34">
        <v>5</v>
      </c>
      <c r="I361" s="34"/>
      <c r="J361" s="34">
        <v>16</v>
      </c>
      <c r="K361" s="34">
        <v>5</v>
      </c>
      <c r="L361" s="13"/>
      <c r="M361" s="34">
        <v>16</v>
      </c>
      <c r="N361" s="34">
        <v>4</v>
      </c>
      <c r="O361" s="13"/>
      <c r="P361" s="34">
        <v>16</v>
      </c>
      <c r="Q361" s="34">
        <v>4</v>
      </c>
      <c r="R361" s="13"/>
      <c r="S361" s="238">
        <v>16</v>
      </c>
      <c r="T361" s="238">
        <v>3</v>
      </c>
      <c r="V361" s="238">
        <v>16</v>
      </c>
      <c r="W361" s="238">
        <v>3</v>
      </c>
      <c r="Y361" s="238">
        <v>16</v>
      </c>
      <c r="Z361" s="238">
        <v>2</v>
      </c>
      <c r="AB361" s="238">
        <v>16</v>
      </c>
      <c r="AC361" s="238" t="s">
        <v>213</v>
      </c>
    </row>
    <row r="362" spans="1:29" ht="15.75" customHeight="1" x14ac:dyDescent="0.2">
      <c r="A362" s="34">
        <v>17</v>
      </c>
      <c r="B362" s="34">
        <v>6</v>
      </c>
      <c r="C362" s="34"/>
      <c r="D362" s="34">
        <v>17</v>
      </c>
      <c r="E362" s="34">
        <v>5</v>
      </c>
      <c r="F362" s="34"/>
      <c r="G362" s="34">
        <v>17</v>
      </c>
      <c r="H362" s="34">
        <v>5</v>
      </c>
      <c r="I362" s="34"/>
      <c r="J362" s="34">
        <v>17</v>
      </c>
      <c r="K362" s="34">
        <v>5</v>
      </c>
      <c r="L362" s="13"/>
      <c r="M362" s="34">
        <v>17</v>
      </c>
      <c r="N362" s="34">
        <v>5</v>
      </c>
      <c r="O362" s="13"/>
      <c r="P362" s="34">
        <v>17</v>
      </c>
      <c r="Q362" s="34">
        <v>4</v>
      </c>
      <c r="R362" s="13"/>
      <c r="S362" s="238">
        <v>17</v>
      </c>
      <c r="T362" s="238">
        <v>4</v>
      </c>
      <c r="V362" s="238">
        <v>17</v>
      </c>
      <c r="W362" s="238">
        <v>3</v>
      </c>
      <c r="Y362" s="238">
        <v>17</v>
      </c>
      <c r="Z362" s="238">
        <v>2</v>
      </c>
      <c r="AB362" s="238">
        <v>17</v>
      </c>
      <c r="AC362" s="238">
        <v>1</v>
      </c>
    </row>
    <row r="363" spans="1:29" ht="15.75" customHeight="1" x14ac:dyDescent="0.2">
      <c r="A363" s="34">
        <v>18</v>
      </c>
      <c r="B363" s="34">
        <v>6</v>
      </c>
      <c r="C363" s="34"/>
      <c r="D363" s="34">
        <v>18</v>
      </c>
      <c r="E363" s="34">
        <v>5</v>
      </c>
      <c r="F363" s="34"/>
      <c r="G363" s="34">
        <v>18</v>
      </c>
      <c r="H363" s="34">
        <v>5</v>
      </c>
      <c r="I363" s="34"/>
      <c r="J363" s="34">
        <v>18</v>
      </c>
      <c r="K363" s="34">
        <v>5</v>
      </c>
      <c r="L363" s="13"/>
      <c r="M363" s="34">
        <v>18</v>
      </c>
      <c r="N363" s="34">
        <v>5</v>
      </c>
      <c r="O363" s="13"/>
      <c r="P363" s="34">
        <v>18</v>
      </c>
      <c r="Q363" s="34">
        <v>4</v>
      </c>
      <c r="R363" s="13"/>
      <c r="S363" s="238">
        <v>18</v>
      </c>
      <c r="T363" s="238">
        <v>4</v>
      </c>
      <c r="V363" s="238">
        <v>18</v>
      </c>
      <c r="W363" s="238">
        <v>3</v>
      </c>
      <c r="Y363" s="238">
        <v>18</v>
      </c>
      <c r="Z363" s="238">
        <v>3</v>
      </c>
      <c r="AB363" s="238">
        <v>18</v>
      </c>
      <c r="AC363" s="238">
        <v>2</v>
      </c>
    </row>
    <row r="364" spans="1:29" ht="15.75" customHeight="1" x14ac:dyDescent="0.2">
      <c r="A364" s="34">
        <v>19</v>
      </c>
      <c r="B364" s="34">
        <v>6</v>
      </c>
      <c r="C364" s="34"/>
      <c r="D364" s="34">
        <v>19</v>
      </c>
      <c r="E364" s="34">
        <v>5</v>
      </c>
      <c r="F364" s="34"/>
      <c r="G364" s="34">
        <v>19</v>
      </c>
      <c r="H364" s="34">
        <v>5</v>
      </c>
      <c r="I364" s="34"/>
      <c r="J364" s="34">
        <v>19</v>
      </c>
      <c r="K364" s="34">
        <v>5</v>
      </c>
      <c r="L364" s="13"/>
      <c r="M364" s="34">
        <v>19</v>
      </c>
      <c r="N364" s="34">
        <v>5</v>
      </c>
      <c r="O364" s="13"/>
      <c r="P364" s="34">
        <v>19</v>
      </c>
      <c r="Q364" s="34">
        <v>5</v>
      </c>
      <c r="R364" s="13"/>
      <c r="S364" s="238">
        <v>19</v>
      </c>
      <c r="T364" s="238">
        <v>4</v>
      </c>
      <c r="V364" s="238">
        <v>19</v>
      </c>
      <c r="W364" s="238">
        <v>4</v>
      </c>
      <c r="Y364" s="238">
        <v>19</v>
      </c>
      <c r="Z364" s="238">
        <v>3</v>
      </c>
      <c r="AB364" s="238">
        <v>19</v>
      </c>
      <c r="AC364" s="238">
        <v>3</v>
      </c>
    </row>
    <row r="365" spans="1:29" ht="15.75" customHeight="1" x14ac:dyDescent="0.2">
      <c r="A365" s="34">
        <v>20</v>
      </c>
      <c r="B365" s="34">
        <v>6</v>
      </c>
      <c r="C365" s="34"/>
      <c r="D365" s="34">
        <v>20</v>
      </c>
      <c r="E365" s="34">
        <v>5</v>
      </c>
      <c r="F365" s="34"/>
      <c r="G365" s="34">
        <v>20</v>
      </c>
      <c r="H365" s="34">
        <v>5</v>
      </c>
      <c r="I365" s="34"/>
      <c r="J365" s="34">
        <v>20</v>
      </c>
      <c r="K365" s="34">
        <v>5</v>
      </c>
      <c r="L365" s="13"/>
      <c r="M365" s="34">
        <v>20</v>
      </c>
      <c r="N365" s="34">
        <v>5</v>
      </c>
      <c r="O365" s="13"/>
      <c r="P365" s="34">
        <v>20</v>
      </c>
      <c r="Q365" s="34">
        <v>5</v>
      </c>
      <c r="R365" s="13"/>
      <c r="S365" s="240">
        <v>20</v>
      </c>
      <c r="T365" s="240">
        <v>4</v>
      </c>
      <c r="V365" s="240">
        <v>20</v>
      </c>
      <c r="W365" s="240">
        <v>4</v>
      </c>
      <c r="Y365" s="240">
        <v>20</v>
      </c>
      <c r="Z365" s="240">
        <v>4</v>
      </c>
      <c r="AB365" s="240">
        <v>20</v>
      </c>
      <c r="AC365" s="240">
        <v>4</v>
      </c>
    </row>
    <row r="366" spans="1:29" ht="15.75" customHeight="1" x14ac:dyDescent="0.2">
      <c r="C366" s="13"/>
    </row>
    <row r="367" spans="1:29" ht="15.75" customHeight="1" x14ac:dyDescent="0.2">
      <c r="A367" s="456" t="s">
        <v>477</v>
      </c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 x14ac:dyDescent="0.2">
      <c r="A368" s="47" t="s">
        <v>478</v>
      </c>
      <c r="B368" s="47" t="s">
        <v>455</v>
      </c>
      <c r="C368" s="62"/>
      <c r="D368" s="47" t="s">
        <v>478</v>
      </c>
      <c r="E368" s="47" t="s">
        <v>456</v>
      </c>
      <c r="F368" s="62"/>
      <c r="G368" s="47" t="s">
        <v>478</v>
      </c>
      <c r="H368" s="47" t="s">
        <v>457</v>
      </c>
      <c r="I368" s="62"/>
      <c r="J368" s="47" t="s">
        <v>478</v>
      </c>
      <c r="K368" s="47" t="s">
        <v>458</v>
      </c>
      <c r="L368" s="62"/>
      <c r="M368" s="47"/>
      <c r="N368" s="47"/>
      <c r="O368" s="62"/>
      <c r="P368" s="47"/>
      <c r="Q368" s="47"/>
      <c r="R368" s="62"/>
      <c r="S368" s="47"/>
      <c r="T368" s="236"/>
      <c r="U368" s="13"/>
      <c r="V368" s="47"/>
      <c r="W368" s="236"/>
      <c r="X368" s="13"/>
      <c r="Y368" s="47"/>
      <c r="Z368" s="236"/>
      <c r="AA368" s="13"/>
      <c r="AB368" s="47"/>
      <c r="AC368" s="236"/>
    </row>
    <row r="369" spans="1:29" ht="15.75" customHeight="1" x14ac:dyDescent="0.2">
      <c r="A369" s="34">
        <v>1</v>
      </c>
      <c r="B369" s="34" t="s">
        <v>213</v>
      </c>
      <c r="C369" s="34"/>
      <c r="D369" s="34">
        <v>1</v>
      </c>
      <c r="E369" s="34" t="s">
        <v>213</v>
      </c>
      <c r="F369" s="34"/>
      <c r="G369" s="34">
        <v>1</v>
      </c>
      <c r="H369" s="34" t="s">
        <v>213</v>
      </c>
      <c r="I369" s="34"/>
      <c r="J369" s="34">
        <v>1</v>
      </c>
      <c r="K369" s="34" t="s">
        <v>213</v>
      </c>
      <c r="L369" s="34"/>
      <c r="M369" s="34"/>
      <c r="N369" s="34"/>
      <c r="O369" s="34"/>
      <c r="P369" s="34"/>
      <c r="Q369" s="34"/>
      <c r="R369" s="34"/>
      <c r="S369" s="238"/>
      <c r="T369" s="238"/>
      <c r="U369" s="13"/>
      <c r="V369" s="238"/>
      <c r="W369" s="238"/>
      <c r="X369" s="13"/>
      <c r="Y369" s="238"/>
      <c r="Z369" s="238"/>
      <c r="AA369" s="13"/>
      <c r="AB369" s="238"/>
      <c r="AC369" s="238"/>
    </row>
    <row r="370" spans="1:29" ht="15.75" customHeight="1" x14ac:dyDescent="0.2">
      <c r="A370" s="34">
        <v>2</v>
      </c>
      <c r="B370" s="34" t="s">
        <v>213</v>
      </c>
      <c r="C370" s="34"/>
      <c r="D370" s="34">
        <v>2</v>
      </c>
      <c r="E370" s="34" t="s">
        <v>213</v>
      </c>
      <c r="F370" s="34"/>
      <c r="G370" s="34">
        <v>2</v>
      </c>
      <c r="H370" s="34" t="s">
        <v>213</v>
      </c>
      <c r="I370" s="34"/>
      <c r="J370" s="34">
        <v>2</v>
      </c>
      <c r="K370" s="34" t="s">
        <v>213</v>
      </c>
      <c r="L370" s="34"/>
      <c r="M370" s="34"/>
      <c r="N370" s="34"/>
      <c r="O370" s="34"/>
      <c r="P370" s="34"/>
      <c r="Q370" s="34"/>
      <c r="R370" s="34"/>
      <c r="S370" s="238"/>
      <c r="T370" s="238"/>
      <c r="U370" s="13"/>
      <c r="V370" s="238"/>
      <c r="W370" s="238"/>
      <c r="X370" s="13"/>
      <c r="Y370" s="238"/>
      <c r="Z370" s="238"/>
      <c r="AA370" s="13"/>
      <c r="AB370" s="238"/>
      <c r="AC370" s="238"/>
    </row>
    <row r="371" spans="1:29" ht="15.75" customHeight="1" x14ac:dyDescent="0.2">
      <c r="A371" s="34">
        <v>3</v>
      </c>
      <c r="B371" s="34" t="s">
        <v>213</v>
      </c>
      <c r="C371" s="34"/>
      <c r="D371" s="34">
        <v>3</v>
      </c>
      <c r="E371" s="34" t="s">
        <v>213</v>
      </c>
      <c r="F371" s="34"/>
      <c r="G371" s="34">
        <v>3</v>
      </c>
      <c r="H371" s="34" t="s">
        <v>213</v>
      </c>
      <c r="I371" s="34"/>
      <c r="J371" s="34">
        <v>3</v>
      </c>
      <c r="K371" s="34" t="s">
        <v>213</v>
      </c>
      <c r="L371" s="34"/>
      <c r="M371" s="34"/>
      <c r="N371" s="34"/>
      <c r="O371" s="34"/>
      <c r="P371" s="34"/>
      <c r="Q371" s="34"/>
      <c r="R371" s="34"/>
      <c r="S371" s="238"/>
      <c r="T371" s="238"/>
      <c r="U371" s="13"/>
      <c r="V371" s="238"/>
      <c r="W371" s="238"/>
      <c r="X371" s="13"/>
      <c r="Y371" s="238"/>
      <c r="Z371" s="238"/>
      <c r="AA371" s="13"/>
      <c r="AB371" s="238"/>
      <c r="AC371" s="238"/>
    </row>
    <row r="372" spans="1:29" ht="15.75" customHeight="1" x14ac:dyDescent="0.2">
      <c r="A372" s="34">
        <v>4</v>
      </c>
      <c r="B372" s="34">
        <v>0</v>
      </c>
      <c r="C372" s="34"/>
      <c r="D372" s="34">
        <v>4</v>
      </c>
      <c r="E372" s="34" t="s">
        <v>213</v>
      </c>
      <c r="F372" s="34"/>
      <c r="G372" s="34">
        <v>4</v>
      </c>
      <c r="H372" s="34" t="s">
        <v>213</v>
      </c>
      <c r="I372" s="34"/>
      <c r="J372" s="34">
        <v>4</v>
      </c>
      <c r="K372" s="34" t="s">
        <v>213</v>
      </c>
      <c r="L372" s="34"/>
      <c r="M372" s="34"/>
      <c r="N372" s="34"/>
      <c r="O372" s="34"/>
      <c r="P372" s="34"/>
      <c r="Q372" s="34"/>
      <c r="R372" s="34"/>
      <c r="S372" s="238"/>
      <c r="T372" s="238"/>
      <c r="U372" s="13"/>
      <c r="V372" s="238"/>
      <c r="W372" s="238"/>
      <c r="X372" s="13"/>
      <c r="Y372" s="238"/>
      <c r="Z372" s="238"/>
      <c r="AA372" s="13"/>
      <c r="AB372" s="238"/>
      <c r="AC372" s="238"/>
    </row>
    <row r="373" spans="1:29" ht="15.75" customHeight="1" x14ac:dyDescent="0.2">
      <c r="A373" s="34">
        <v>5</v>
      </c>
      <c r="B373" s="34">
        <v>0</v>
      </c>
      <c r="C373" s="34"/>
      <c r="D373" s="34">
        <v>5</v>
      </c>
      <c r="E373" s="34" t="s">
        <v>213</v>
      </c>
      <c r="F373" s="34"/>
      <c r="G373" s="34">
        <v>5</v>
      </c>
      <c r="H373" s="34" t="s">
        <v>213</v>
      </c>
      <c r="I373" s="34"/>
      <c r="J373" s="34">
        <v>5</v>
      </c>
      <c r="K373" s="34" t="s">
        <v>213</v>
      </c>
      <c r="L373" s="34"/>
      <c r="M373" s="34"/>
      <c r="N373" s="34"/>
      <c r="O373" s="34"/>
      <c r="P373" s="34"/>
      <c r="Q373" s="34"/>
      <c r="R373" s="34"/>
      <c r="S373" s="238"/>
      <c r="T373" s="238"/>
      <c r="U373" s="13"/>
      <c r="V373" s="238"/>
      <c r="W373" s="238"/>
      <c r="X373" s="13"/>
      <c r="Y373" s="238"/>
      <c r="Z373" s="238"/>
      <c r="AA373" s="13"/>
      <c r="AB373" s="238"/>
      <c r="AC373" s="238"/>
    </row>
    <row r="374" spans="1:29" ht="15.75" customHeight="1" x14ac:dyDescent="0.2">
      <c r="A374" s="34">
        <v>6</v>
      </c>
      <c r="B374" s="34">
        <v>1</v>
      </c>
      <c r="C374" s="34"/>
      <c r="D374" s="34">
        <v>6</v>
      </c>
      <c r="E374" s="34" t="s">
        <v>213</v>
      </c>
      <c r="F374" s="34"/>
      <c r="G374" s="34">
        <v>6</v>
      </c>
      <c r="H374" s="34" t="s">
        <v>213</v>
      </c>
      <c r="I374" s="34"/>
      <c r="J374" s="34">
        <v>6</v>
      </c>
      <c r="K374" s="34" t="s">
        <v>213</v>
      </c>
      <c r="L374" s="34"/>
      <c r="M374" s="34"/>
      <c r="N374" s="34"/>
      <c r="O374" s="34"/>
      <c r="P374" s="34"/>
      <c r="Q374" s="34"/>
      <c r="R374" s="34"/>
      <c r="S374" s="238"/>
      <c r="T374" s="238"/>
      <c r="U374" s="13"/>
      <c r="V374" s="238"/>
      <c r="W374" s="238"/>
      <c r="X374" s="13"/>
      <c r="Y374" s="238"/>
      <c r="Z374" s="238"/>
      <c r="AA374" s="13"/>
      <c r="AB374" s="238"/>
      <c r="AC374" s="238"/>
    </row>
    <row r="375" spans="1:29" ht="15.75" customHeight="1" x14ac:dyDescent="0.2">
      <c r="A375" s="34">
        <v>7</v>
      </c>
      <c r="B375" s="34">
        <v>1</v>
      </c>
      <c r="C375" s="34"/>
      <c r="D375" s="34">
        <v>7</v>
      </c>
      <c r="E375" s="34" t="s">
        <v>213</v>
      </c>
      <c r="F375" s="34"/>
      <c r="G375" s="34">
        <v>7</v>
      </c>
      <c r="H375" s="34" t="s">
        <v>213</v>
      </c>
      <c r="I375" s="34"/>
      <c r="J375" s="34">
        <v>7</v>
      </c>
      <c r="K375" s="34" t="s">
        <v>213</v>
      </c>
      <c r="L375" s="34"/>
      <c r="M375" s="34"/>
      <c r="N375" s="34"/>
      <c r="O375" s="34"/>
      <c r="P375" s="34"/>
      <c r="Q375" s="34"/>
      <c r="R375" s="34"/>
      <c r="S375" s="238"/>
      <c r="T375" s="238"/>
      <c r="U375" s="13"/>
      <c r="V375" s="238"/>
      <c r="W375" s="238"/>
      <c r="X375" s="13"/>
      <c r="Y375" s="238"/>
      <c r="Z375" s="238"/>
      <c r="AA375" s="13"/>
      <c r="AB375" s="238"/>
      <c r="AC375" s="238"/>
    </row>
    <row r="376" spans="1:29" ht="15.75" customHeight="1" x14ac:dyDescent="0.2">
      <c r="A376" s="34">
        <v>8</v>
      </c>
      <c r="B376" s="34">
        <v>1</v>
      </c>
      <c r="C376" s="34"/>
      <c r="D376" s="34">
        <v>8</v>
      </c>
      <c r="E376" s="34">
        <v>0</v>
      </c>
      <c r="F376" s="34"/>
      <c r="G376" s="34">
        <v>8</v>
      </c>
      <c r="H376" s="34" t="s">
        <v>213</v>
      </c>
      <c r="I376" s="34"/>
      <c r="J376" s="34">
        <v>8</v>
      </c>
      <c r="K376" s="34" t="s">
        <v>213</v>
      </c>
      <c r="L376" s="34"/>
      <c r="M376" s="34"/>
      <c r="N376" s="34"/>
      <c r="O376" s="34"/>
      <c r="P376" s="34"/>
      <c r="Q376" s="34"/>
      <c r="R376" s="34"/>
      <c r="S376" s="238"/>
      <c r="T376" s="238"/>
      <c r="U376" s="13"/>
      <c r="V376" s="238"/>
      <c r="W376" s="238"/>
      <c r="X376" s="13"/>
      <c r="Y376" s="238"/>
      <c r="Z376" s="238"/>
      <c r="AA376" s="13"/>
      <c r="AB376" s="238"/>
      <c r="AC376" s="238"/>
    </row>
    <row r="377" spans="1:29" ht="15.75" customHeight="1" x14ac:dyDescent="0.2">
      <c r="A377" s="34">
        <v>9</v>
      </c>
      <c r="B377" s="34">
        <v>1</v>
      </c>
      <c r="C377" s="34"/>
      <c r="D377" s="34">
        <v>9</v>
      </c>
      <c r="E377" s="34">
        <v>0</v>
      </c>
      <c r="F377" s="34"/>
      <c r="G377" s="34">
        <v>9</v>
      </c>
      <c r="H377" s="34" t="s">
        <v>213</v>
      </c>
      <c r="I377" s="34"/>
      <c r="J377" s="34">
        <v>9</v>
      </c>
      <c r="K377" s="34" t="s">
        <v>213</v>
      </c>
      <c r="L377" s="34"/>
      <c r="M377" s="34"/>
      <c r="N377" s="34"/>
      <c r="O377" s="34"/>
      <c r="P377" s="34"/>
      <c r="Q377" s="34"/>
      <c r="R377" s="34"/>
      <c r="S377" s="238"/>
      <c r="T377" s="238"/>
      <c r="U377" s="13"/>
      <c r="V377" s="238"/>
      <c r="W377" s="238"/>
      <c r="X377" s="13"/>
      <c r="Y377" s="238"/>
      <c r="Z377" s="238"/>
      <c r="AA377" s="13"/>
      <c r="AB377" s="238"/>
      <c r="AC377" s="238"/>
    </row>
    <row r="378" spans="1:29" ht="15.75" customHeight="1" x14ac:dyDescent="0.2">
      <c r="A378" s="34">
        <v>10</v>
      </c>
      <c r="B378" s="34">
        <v>1</v>
      </c>
      <c r="C378" s="34"/>
      <c r="D378" s="34">
        <v>10</v>
      </c>
      <c r="E378" s="34">
        <v>1</v>
      </c>
      <c r="F378" s="34"/>
      <c r="G378" s="34">
        <v>10</v>
      </c>
      <c r="H378" s="34" t="s">
        <v>213</v>
      </c>
      <c r="I378" s="34"/>
      <c r="J378" s="34">
        <v>10</v>
      </c>
      <c r="K378" s="34" t="s">
        <v>213</v>
      </c>
      <c r="L378" s="34"/>
      <c r="M378" s="34"/>
      <c r="N378" s="34"/>
      <c r="O378" s="34"/>
      <c r="P378" s="34"/>
      <c r="Q378" s="34"/>
      <c r="R378" s="34"/>
      <c r="S378" s="238"/>
      <c r="T378" s="238"/>
      <c r="U378" s="13"/>
      <c r="V378" s="238"/>
      <c r="W378" s="238"/>
      <c r="X378" s="13"/>
      <c r="Y378" s="238"/>
      <c r="Z378" s="238"/>
      <c r="AA378" s="13"/>
      <c r="AB378" s="238"/>
      <c r="AC378" s="238"/>
    </row>
    <row r="379" spans="1:29" ht="15.75" customHeight="1" x14ac:dyDescent="0.2">
      <c r="A379" s="34">
        <v>11</v>
      </c>
      <c r="B379" s="34">
        <v>1</v>
      </c>
      <c r="C379" s="34"/>
      <c r="D379" s="34">
        <v>11</v>
      </c>
      <c r="E379" s="34">
        <v>1</v>
      </c>
      <c r="F379" s="34"/>
      <c r="G379" s="34">
        <v>11</v>
      </c>
      <c r="H379" s="34">
        <v>0</v>
      </c>
      <c r="I379" s="34"/>
      <c r="J379" s="34">
        <v>11</v>
      </c>
      <c r="K379" s="34" t="s">
        <v>213</v>
      </c>
      <c r="L379" s="13"/>
      <c r="M379" s="34"/>
      <c r="N379" s="34"/>
      <c r="O379" s="13"/>
      <c r="P379" s="34"/>
      <c r="Q379" s="34"/>
      <c r="R379" s="13"/>
      <c r="S379" s="238"/>
      <c r="T379" s="238"/>
      <c r="U379" s="13"/>
      <c r="V379" s="238"/>
      <c r="W379" s="238"/>
      <c r="X379" s="13"/>
      <c r="Y379" s="238"/>
      <c r="Z379" s="238"/>
      <c r="AA379" s="13"/>
      <c r="AB379" s="238"/>
      <c r="AC379" s="238"/>
    </row>
    <row r="380" spans="1:29" ht="15.75" customHeight="1" x14ac:dyDescent="0.2">
      <c r="A380" s="34">
        <v>12</v>
      </c>
      <c r="B380" s="34">
        <v>1</v>
      </c>
      <c r="C380" s="34"/>
      <c r="D380" s="34">
        <v>12</v>
      </c>
      <c r="E380" s="34">
        <v>1</v>
      </c>
      <c r="F380" s="34"/>
      <c r="G380" s="34">
        <v>12</v>
      </c>
      <c r="H380" s="34">
        <v>1</v>
      </c>
      <c r="I380" s="34"/>
      <c r="J380" s="34">
        <v>12</v>
      </c>
      <c r="K380" s="34" t="s">
        <v>213</v>
      </c>
      <c r="L380" s="13"/>
      <c r="M380" s="34"/>
      <c r="N380" s="34"/>
      <c r="O380" s="13"/>
      <c r="P380" s="34"/>
      <c r="Q380" s="34"/>
      <c r="R380" s="13"/>
      <c r="S380" s="238"/>
      <c r="T380" s="238"/>
      <c r="U380" s="13"/>
      <c r="V380" s="238"/>
      <c r="W380" s="238"/>
      <c r="X380" s="13"/>
      <c r="Y380" s="238"/>
      <c r="Z380" s="238"/>
      <c r="AA380" s="13"/>
      <c r="AB380" s="238"/>
      <c r="AC380" s="238"/>
    </row>
    <row r="381" spans="1:29" ht="15.75" customHeight="1" x14ac:dyDescent="0.2">
      <c r="A381" s="34">
        <v>13</v>
      </c>
      <c r="B381" s="34">
        <v>1</v>
      </c>
      <c r="C381" s="34"/>
      <c r="D381" s="34">
        <v>13</v>
      </c>
      <c r="E381" s="34">
        <v>1</v>
      </c>
      <c r="F381" s="34"/>
      <c r="G381" s="34">
        <v>13</v>
      </c>
      <c r="H381" s="34">
        <v>1</v>
      </c>
      <c r="I381" s="34"/>
      <c r="J381" s="34">
        <v>13</v>
      </c>
      <c r="K381" s="34" t="s">
        <v>213</v>
      </c>
      <c r="L381" s="13"/>
      <c r="M381" s="34"/>
      <c r="N381" s="34"/>
      <c r="O381" s="13"/>
      <c r="P381" s="34"/>
      <c r="Q381" s="34"/>
      <c r="R381" s="13"/>
      <c r="S381" s="238"/>
      <c r="T381" s="238"/>
      <c r="U381" s="13"/>
      <c r="V381" s="238"/>
      <c r="W381" s="238"/>
      <c r="X381" s="13"/>
      <c r="Y381" s="238"/>
      <c r="Z381" s="238"/>
      <c r="AA381" s="13"/>
      <c r="AB381" s="238"/>
      <c r="AC381" s="238"/>
    </row>
    <row r="382" spans="1:29" ht="15.75" customHeight="1" x14ac:dyDescent="0.2">
      <c r="A382" s="34">
        <v>14</v>
      </c>
      <c r="B382" s="34">
        <v>2</v>
      </c>
      <c r="C382" s="34"/>
      <c r="D382" s="34">
        <v>14</v>
      </c>
      <c r="E382" s="34">
        <v>1</v>
      </c>
      <c r="F382" s="34"/>
      <c r="G382" s="34">
        <v>14</v>
      </c>
      <c r="H382" s="34">
        <v>1</v>
      </c>
      <c r="I382" s="34"/>
      <c r="J382" s="34">
        <v>14</v>
      </c>
      <c r="K382" s="34">
        <v>0</v>
      </c>
      <c r="L382" s="13"/>
      <c r="M382" s="34"/>
      <c r="N382" s="34"/>
      <c r="O382" s="13"/>
      <c r="P382" s="34"/>
      <c r="Q382" s="34"/>
      <c r="R382" s="13"/>
      <c r="S382" s="238"/>
      <c r="T382" s="238"/>
      <c r="U382" s="13"/>
      <c r="V382" s="238"/>
      <c r="W382" s="238"/>
      <c r="X382" s="13"/>
      <c r="Y382" s="238"/>
      <c r="Z382" s="238"/>
      <c r="AA382" s="13"/>
      <c r="AB382" s="238"/>
      <c r="AC382" s="238"/>
    </row>
    <row r="383" spans="1:29" ht="15.75" customHeight="1" x14ac:dyDescent="0.2">
      <c r="A383" s="34">
        <v>15</v>
      </c>
      <c r="B383" s="34">
        <v>2</v>
      </c>
      <c r="C383" s="34"/>
      <c r="D383" s="34">
        <v>15</v>
      </c>
      <c r="E383" s="34">
        <v>1</v>
      </c>
      <c r="F383" s="34"/>
      <c r="G383" s="34">
        <v>15</v>
      </c>
      <c r="H383" s="34">
        <v>1</v>
      </c>
      <c r="I383" s="34"/>
      <c r="J383" s="34">
        <v>15</v>
      </c>
      <c r="K383" s="34">
        <v>1</v>
      </c>
      <c r="L383" s="13"/>
      <c r="M383" s="34"/>
      <c r="N383" s="34"/>
      <c r="O383" s="13"/>
      <c r="P383" s="34"/>
      <c r="Q383" s="34"/>
      <c r="R383" s="13"/>
      <c r="S383" s="238"/>
      <c r="T383" s="238"/>
      <c r="U383" s="13"/>
      <c r="V383" s="238"/>
      <c r="W383" s="238"/>
      <c r="X383" s="13"/>
      <c r="Y383" s="238"/>
      <c r="Z383" s="238"/>
      <c r="AA383" s="13"/>
      <c r="AB383" s="238"/>
      <c r="AC383" s="238"/>
    </row>
    <row r="384" spans="1:29" ht="15.75" customHeight="1" x14ac:dyDescent="0.2">
      <c r="A384" s="34">
        <v>16</v>
      </c>
      <c r="B384" s="34">
        <v>2</v>
      </c>
      <c r="C384" s="34"/>
      <c r="D384" s="34">
        <v>16</v>
      </c>
      <c r="E384" s="34">
        <v>2</v>
      </c>
      <c r="F384" s="34"/>
      <c r="G384" s="34">
        <v>16</v>
      </c>
      <c r="H384" s="34">
        <v>1</v>
      </c>
      <c r="I384" s="34"/>
      <c r="J384" s="34">
        <v>16</v>
      </c>
      <c r="K384" s="34">
        <v>1</v>
      </c>
      <c r="L384" s="13"/>
      <c r="M384" s="34"/>
      <c r="N384" s="34"/>
      <c r="O384" s="13"/>
      <c r="P384" s="34"/>
      <c r="Q384" s="34"/>
      <c r="R384" s="13"/>
      <c r="S384" s="238"/>
      <c r="T384" s="238"/>
      <c r="U384" s="13"/>
      <c r="V384" s="238"/>
      <c r="W384" s="238"/>
      <c r="X384" s="13"/>
      <c r="Y384" s="238"/>
      <c r="Z384" s="238"/>
      <c r="AA384" s="13"/>
      <c r="AB384" s="238"/>
      <c r="AC384" s="238"/>
    </row>
    <row r="385" spans="1:29" ht="15.75" customHeight="1" x14ac:dyDescent="0.2">
      <c r="A385" s="34">
        <v>17</v>
      </c>
      <c r="B385" s="34">
        <v>2</v>
      </c>
      <c r="C385" s="34"/>
      <c r="D385" s="34">
        <v>17</v>
      </c>
      <c r="E385" s="34">
        <v>2</v>
      </c>
      <c r="F385" s="34"/>
      <c r="G385" s="34">
        <v>17</v>
      </c>
      <c r="H385" s="34">
        <v>2</v>
      </c>
      <c r="I385" s="34"/>
      <c r="J385" s="34">
        <v>17</v>
      </c>
      <c r="K385" s="34">
        <v>1</v>
      </c>
      <c r="L385" s="13"/>
      <c r="M385" s="34"/>
      <c r="N385" s="34"/>
      <c r="O385" s="13"/>
      <c r="P385" s="34"/>
      <c r="Q385" s="34"/>
      <c r="R385" s="13"/>
      <c r="S385" s="238"/>
      <c r="T385" s="238"/>
      <c r="U385" s="13"/>
      <c r="V385" s="238"/>
      <c r="W385" s="238"/>
      <c r="X385" s="13"/>
      <c r="Y385" s="238"/>
      <c r="Z385" s="238"/>
      <c r="AA385" s="13"/>
      <c r="AB385" s="238"/>
      <c r="AC385" s="238"/>
    </row>
    <row r="386" spans="1:29" ht="15.75" customHeight="1" x14ac:dyDescent="0.2">
      <c r="A386" s="34">
        <v>18</v>
      </c>
      <c r="B386" s="34">
        <v>3</v>
      </c>
      <c r="C386" s="34"/>
      <c r="D386" s="34">
        <v>18</v>
      </c>
      <c r="E386" s="34">
        <v>2</v>
      </c>
      <c r="F386" s="34"/>
      <c r="G386" s="34">
        <v>18</v>
      </c>
      <c r="H386" s="34">
        <v>2</v>
      </c>
      <c r="I386" s="34"/>
      <c r="J386" s="34">
        <v>18</v>
      </c>
      <c r="K386" s="34">
        <v>1</v>
      </c>
      <c r="L386" s="13"/>
      <c r="M386" s="34"/>
      <c r="N386" s="34"/>
      <c r="O386" s="13"/>
      <c r="P386" s="34"/>
      <c r="Q386" s="34"/>
      <c r="R386" s="13"/>
      <c r="S386" s="238"/>
      <c r="T386" s="238"/>
      <c r="U386" s="13"/>
      <c r="V386" s="238"/>
      <c r="W386" s="238"/>
      <c r="X386" s="13"/>
      <c r="Y386" s="238"/>
      <c r="Z386" s="238"/>
      <c r="AA386" s="13"/>
      <c r="AB386" s="238"/>
      <c r="AC386" s="238"/>
    </row>
    <row r="387" spans="1:29" ht="15.75" customHeight="1" x14ac:dyDescent="0.2">
      <c r="A387" s="34">
        <v>19</v>
      </c>
      <c r="B387" s="34">
        <v>3</v>
      </c>
      <c r="C387" s="34"/>
      <c r="D387" s="34">
        <v>19</v>
      </c>
      <c r="E387" s="34">
        <v>3</v>
      </c>
      <c r="F387" s="34"/>
      <c r="G387" s="34">
        <v>19</v>
      </c>
      <c r="H387" s="34">
        <v>3</v>
      </c>
      <c r="I387" s="34"/>
      <c r="J387" s="34">
        <v>19</v>
      </c>
      <c r="K387" s="34">
        <v>2</v>
      </c>
      <c r="L387" s="13"/>
      <c r="M387" s="34"/>
      <c r="N387" s="34"/>
      <c r="O387" s="13"/>
      <c r="P387" s="34"/>
      <c r="Q387" s="34"/>
      <c r="R387" s="13"/>
      <c r="S387" s="238"/>
      <c r="T387" s="238"/>
      <c r="U387" s="13"/>
      <c r="V387" s="238"/>
      <c r="W387" s="238"/>
      <c r="X387" s="13"/>
      <c r="Y387" s="238"/>
      <c r="Z387" s="238"/>
      <c r="AA387" s="13"/>
      <c r="AB387" s="238"/>
      <c r="AC387" s="238"/>
    </row>
    <row r="388" spans="1:29" ht="15.75" customHeight="1" x14ac:dyDescent="0.2">
      <c r="A388" s="34">
        <v>20</v>
      </c>
      <c r="B388" s="34">
        <v>3</v>
      </c>
      <c r="C388" s="34"/>
      <c r="D388" s="34">
        <v>20</v>
      </c>
      <c r="E388" s="34">
        <v>3</v>
      </c>
      <c r="F388" s="34"/>
      <c r="G388" s="34">
        <v>20</v>
      </c>
      <c r="H388" s="34">
        <v>3</v>
      </c>
      <c r="I388" s="34"/>
      <c r="J388" s="34">
        <v>20</v>
      </c>
      <c r="K388" s="34">
        <v>3</v>
      </c>
      <c r="L388" s="13"/>
      <c r="M388" s="34"/>
      <c r="N388" s="34"/>
      <c r="O388" s="13"/>
      <c r="P388" s="34"/>
      <c r="Q388" s="34"/>
      <c r="R388" s="13"/>
      <c r="S388" s="240"/>
      <c r="T388" s="240"/>
      <c r="U388" s="13"/>
      <c r="V388" s="240"/>
      <c r="W388" s="240"/>
      <c r="X388" s="13"/>
      <c r="Y388" s="240"/>
      <c r="Z388" s="240"/>
      <c r="AA388" s="13"/>
      <c r="AB388" s="240"/>
      <c r="AC388" s="240"/>
    </row>
    <row r="389" spans="1:29" ht="12.75" customHeight="1" x14ac:dyDescent="0.2"/>
    <row r="390" spans="1:29" ht="15.75" customHeight="1" x14ac:dyDescent="0.2">
      <c r="A390" s="457" t="s">
        <v>479</v>
      </c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 x14ac:dyDescent="0.2">
      <c r="A391" s="47" t="s">
        <v>480</v>
      </c>
      <c r="B391" s="47" t="s">
        <v>454</v>
      </c>
      <c r="C391" s="62"/>
      <c r="D391" s="47" t="s">
        <v>480</v>
      </c>
      <c r="E391" s="47" t="s">
        <v>455</v>
      </c>
      <c r="F391" s="62"/>
      <c r="G391" s="47" t="s">
        <v>480</v>
      </c>
      <c r="H391" s="47" t="s">
        <v>456</v>
      </c>
      <c r="I391" s="62"/>
      <c r="J391" s="47" t="s">
        <v>480</v>
      </c>
      <c r="K391" s="47" t="s">
        <v>457</v>
      </c>
      <c r="L391" s="62"/>
      <c r="M391" s="47" t="s">
        <v>480</v>
      </c>
      <c r="N391" s="47" t="s">
        <v>458</v>
      </c>
      <c r="O391" s="62"/>
      <c r="P391" s="47" t="s">
        <v>480</v>
      </c>
      <c r="Q391" s="47" t="s">
        <v>459</v>
      </c>
      <c r="R391" s="62"/>
      <c r="S391" s="47" t="s">
        <v>480</v>
      </c>
      <c r="T391" s="236" t="s">
        <v>460</v>
      </c>
      <c r="U391" s="13"/>
      <c r="V391" s="47" t="s">
        <v>480</v>
      </c>
      <c r="W391" s="236" t="s">
        <v>474</v>
      </c>
      <c r="X391" s="13"/>
      <c r="Y391" s="47" t="s">
        <v>480</v>
      </c>
      <c r="Z391" s="236" t="s">
        <v>475</v>
      </c>
      <c r="AA391" s="13"/>
      <c r="AB391" s="47" t="s">
        <v>480</v>
      </c>
      <c r="AC391" s="236" t="s">
        <v>476</v>
      </c>
    </row>
    <row r="392" spans="1:29" ht="15.75" customHeight="1" x14ac:dyDescent="0.2">
      <c r="A392" s="34">
        <v>1</v>
      </c>
      <c r="B392" s="34">
        <v>3</v>
      </c>
      <c r="C392" s="34"/>
      <c r="D392" s="34">
        <v>1</v>
      </c>
      <c r="E392" s="34">
        <v>1</v>
      </c>
      <c r="F392" s="34"/>
      <c r="G392" s="34">
        <v>1</v>
      </c>
      <c r="H392" s="34" t="s">
        <v>213</v>
      </c>
      <c r="I392" s="34"/>
      <c r="J392" s="34">
        <v>1</v>
      </c>
      <c r="K392" s="34" t="s">
        <v>213</v>
      </c>
      <c r="L392" s="34"/>
      <c r="M392" s="34">
        <v>1</v>
      </c>
      <c r="N392" s="34" t="s">
        <v>213</v>
      </c>
      <c r="O392" s="34"/>
      <c r="P392" s="34">
        <v>1</v>
      </c>
      <c r="Q392" s="34" t="s">
        <v>213</v>
      </c>
      <c r="R392" s="34"/>
      <c r="S392" s="238">
        <v>1</v>
      </c>
      <c r="T392" s="238" t="s">
        <v>213</v>
      </c>
      <c r="U392" s="13"/>
      <c r="V392" s="238">
        <v>1</v>
      </c>
      <c r="W392" s="238" t="s">
        <v>213</v>
      </c>
      <c r="X392" s="13"/>
      <c r="Y392" s="238">
        <v>1</v>
      </c>
      <c r="Z392" s="238" t="s">
        <v>213</v>
      </c>
      <c r="AA392" s="13"/>
      <c r="AB392" s="238">
        <v>1</v>
      </c>
      <c r="AC392" s="238" t="s">
        <v>213</v>
      </c>
    </row>
    <row r="393" spans="1:29" ht="15.75" customHeight="1" x14ac:dyDescent="0.2">
      <c r="A393" s="34">
        <v>2</v>
      </c>
      <c r="B393" s="34">
        <v>4</v>
      </c>
      <c r="C393" s="34"/>
      <c r="D393" s="34">
        <v>2</v>
      </c>
      <c r="E393" s="34">
        <v>2</v>
      </c>
      <c r="F393" s="34"/>
      <c r="G393" s="34">
        <v>2</v>
      </c>
      <c r="H393" s="34" t="s">
        <v>213</v>
      </c>
      <c r="I393" s="34"/>
      <c r="J393" s="34">
        <v>2</v>
      </c>
      <c r="K393" s="34" t="s">
        <v>213</v>
      </c>
      <c r="L393" s="34"/>
      <c r="M393" s="34">
        <v>2</v>
      </c>
      <c r="N393" s="34" t="s">
        <v>213</v>
      </c>
      <c r="O393" s="34"/>
      <c r="P393" s="34">
        <v>2</v>
      </c>
      <c r="Q393" s="34" t="s">
        <v>213</v>
      </c>
      <c r="R393" s="34"/>
      <c r="S393" s="238">
        <v>2</v>
      </c>
      <c r="T393" s="238" t="s">
        <v>213</v>
      </c>
      <c r="U393" s="13"/>
      <c r="V393" s="238">
        <v>2</v>
      </c>
      <c r="W393" s="238" t="s">
        <v>213</v>
      </c>
      <c r="X393" s="13"/>
      <c r="Y393" s="238">
        <v>2</v>
      </c>
      <c r="Z393" s="238" t="s">
        <v>213</v>
      </c>
      <c r="AA393" s="13"/>
      <c r="AB393" s="238">
        <v>2</v>
      </c>
      <c r="AC393" s="238" t="s">
        <v>213</v>
      </c>
    </row>
    <row r="394" spans="1:29" ht="15.75" customHeight="1" x14ac:dyDescent="0.2">
      <c r="A394" s="34">
        <v>3</v>
      </c>
      <c r="B394" s="34">
        <v>4</v>
      </c>
      <c r="C394" s="34"/>
      <c r="D394" s="34">
        <v>3</v>
      </c>
      <c r="E394" s="34">
        <v>2</v>
      </c>
      <c r="F394" s="34"/>
      <c r="G394" s="34">
        <v>3</v>
      </c>
      <c r="H394" s="34">
        <v>1</v>
      </c>
      <c r="I394" s="34"/>
      <c r="J394" s="34">
        <v>3</v>
      </c>
      <c r="K394" s="34" t="s">
        <v>213</v>
      </c>
      <c r="L394" s="34"/>
      <c r="M394" s="34">
        <v>3</v>
      </c>
      <c r="N394" s="34" t="s">
        <v>213</v>
      </c>
      <c r="O394" s="34"/>
      <c r="P394" s="34">
        <v>3</v>
      </c>
      <c r="Q394" s="34" t="s">
        <v>213</v>
      </c>
      <c r="R394" s="34"/>
      <c r="S394" s="238">
        <v>3</v>
      </c>
      <c r="T394" s="238" t="s">
        <v>213</v>
      </c>
      <c r="U394" s="13"/>
      <c r="V394" s="238">
        <v>3</v>
      </c>
      <c r="W394" s="238" t="s">
        <v>213</v>
      </c>
      <c r="X394" s="13"/>
      <c r="Y394" s="238">
        <v>3</v>
      </c>
      <c r="Z394" s="238" t="s">
        <v>213</v>
      </c>
      <c r="AA394" s="13"/>
      <c r="AB394" s="238">
        <v>3</v>
      </c>
      <c r="AC394" s="238" t="s">
        <v>213</v>
      </c>
    </row>
    <row r="395" spans="1:29" ht="15.75" customHeight="1" x14ac:dyDescent="0.2">
      <c r="A395" s="34">
        <v>4</v>
      </c>
      <c r="B395" s="34">
        <v>4</v>
      </c>
      <c r="C395" s="34"/>
      <c r="D395" s="34">
        <v>4</v>
      </c>
      <c r="E395" s="34">
        <v>3</v>
      </c>
      <c r="F395" s="34"/>
      <c r="G395" s="34">
        <v>4</v>
      </c>
      <c r="H395" s="34">
        <v>2</v>
      </c>
      <c r="I395" s="34"/>
      <c r="J395" s="34">
        <v>4</v>
      </c>
      <c r="K395" s="34" t="s">
        <v>213</v>
      </c>
      <c r="L395" s="34"/>
      <c r="M395" s="34">
        <v>4</v>
      </c>
      <c r="N395" s="34" t="s">
        <v>213</v>
      </c>
      <c r="O395" s="34"/>
      <c r="P395" s="34">
        <v>4</v>
      </c>
      <c r="Q395" s="34" t="s">
        <v>213</v>
      </c>
      <c r="R395" s="34"/>
      <c r="S395" s="238">
        <v>4</v>
      </c>
      <c r="T395" s="238" t="s">
        <v>213</v>
      </c>
      <c r="U395" s="13"/>
      <c r="V395" s="238">
        <v>4</v>
      </c>
      <c r="W395" s="238" t="s">
        <v>213</v>
      </c>
      <c r="X395" s="13"/>
      <c r="Y395" s="238">
        <v>4</v>
      </c>
      <c r="Z395" s="238" t="s">
        <v>213</v>
      </c>
      <c r="AA395" s="13"/>
      <c r="AB395" s="238">
        <v>4</v>
      </c>
      <c r="AC395" s="238" t="s">
        <v>213</v>
      </c>
    </row>
    <row r="396" spans="1:29" ht="15.75" customHeight="1" x14ac:dyDescent="0.2">
      <c r="A396" s="34">
        <v>5</v>
      </c>
      <c r="B396" s="34">
        <v>4</v>
      </c>
      <c r="C396" s="34"/>
      <c r="D396" s="34">
        <v>5</v>
      </c>
      <c r="E396" s="34">
        <v>3</v>
      </c>
      <c r="F396" s="34"/>
      <c r="G396" s="34">
        <v>5</v>
      </c>
      <c r="H396" s="34">
        <v>2</v>
      </c>
      <c r="I396" s="34"/>
      <c r="J396" s="34">
        <v>5</v>
      </c>
      <c r="K396" s="34">
        <v>1</v>
      </c>
      <c r="L396" s="34"/>
      <c r="M396" s="34">
        <v>5</v>
      </c>
      <c r="N396" s="34" t="s">
        <v>213</v>
      </c>
      <c r="O396" s="34"/>
      <c r="P396" s="34">
        <v>5</v>
      </c>
      <c r="Q396" s="34" t="s">
        <v>213</v>
      </c>
      <c r="R396" s="34"/>
      <c r="S396" s="238">
        <v>5</v>
      </c>
      <c r="T396" s="238" t="s">
        <v>213</v>
      </c>
      <c r="U396" s="13"/>
      <c r="V396" s="238">
        <v>5</v>
      </c>
      <c r="W396" s="238" t="s">
        <v>213</v>
      </c>
      <c r="X396" s="13"/>
      <c r="Y396" s="238">
        <v>5</v>
      </c>
      <c r="Z396" s="238" t="s">
        <v>213</v>
      </c>
      <c r="AA396" s="13"/>
      <c r="AB396" s="238">
        <v>5</v>
      </c>
      <c r="AC396" s="238" t="s">
        <v>213</v>
      </c>
    </row>
    <row r="397" spans="1:29" ht="15.75" customHeight="1" x14ac:dyDescent="0.2">
      <c r="A397" s="34">
        <v>6</v>
      </c>
      <c r="B397" s="34">
        <v>4</v>
      </c>
      <c r="C397" s="34"/>
      <c r="D397" s="34">
        <v>6</v>
      </c>
      <c r="E397" s="34">
        <v>3</v>
      </c>
      <c r="F397" s="34"/>
      <c r="G397" s="34">
        <v>6</v>
      </c>
      <c r="H397" s="34">
        <v>3</v>
      </c>
      <c r="I397" s="34"/>
      <c r="J397" s="34">
        <v>6</v>
      </c>
      <c r="K397" s="34">
        <v>2</v>
      </c>
      <c r="L397" s="34"/>
      <c r="M397" s="34">
        <v>6</v>
      </c>
      <c r="N397" s="34" t="s">
        <v>213</v>
      </c>
      <c r="O397" s="34"/>
      <c r="P397" s="34">
        <v>6</v>
      </c>
      <c r="Q397" s="34" t="s">
        <v>213</v>
      </c>
      <c r="R397" s="34"/>
      <c r="S397" s="238">
        <v>6</v>
      </c>
      <c r="T397" s="238" t="s">
        <v>213</v>
      </c>
      <c r="U397" s="13"/>
      <c r="V397" s="238">
        <v>6</v>
      </c>
      <c r="W397" s="238" t="s">
        <v>213</v>
      </c>
      <c r="X397" s="13"/>
      <c r="Y397" s="238">
        <v>6</v>
      </c>
      <c r="Z397" s="238" t="s">
        <v>213</v>
      </c>
      <c r="AA397" s="13"/>
      <c r="AB397" s="238">
        <v>6</v>
      </c>
      <c r="AC397" s="238" t="s">
        <v>213</v>
      </c>
    </row>
    <row r="398" spans="1:29" ht="15.75" customHeight="1" x14ac:dyDescent="0.2">
      <c r="A398" s="34">
        <v>7</v>
      </c>
      <c r="B398" s="34">
        <v>4</v>
      </c>
      <c r="C398" s="34"/>
      <c r="D398" s="34">
        <v>7</v>
      </c>
      <c r="E398" s="34">
        <v>4</v>
      </c>
      <c r="F398" s="34"/>
      <c r="G398" s="34">
        <v>7</v>
      </c>
      <c r="H398" s="34">
        <v>3</v>
      </c>
      <c r="I398" s="34"/>
      <c r="J398" s="34">
        <v>7</v>
      </c>
      <c r="K398" s="34">
        <v>2</v>
      </c>
      <c r="L398" s="34"/>
      <c r="M398" s="34">
        <v>7</v>
      </c>
      <c r="N398" s="34">
        <v>1</v>
      </c>
      <c r="O398" s="34"/>
      <c r="P398" s="34">
        <v>7</v>
      </c>
      <c r="Q398" s="34" t="s">
        <v>213</v>
      </c>
      <c r="R398" s="34"/>
      <c r="S398" s="238">
        <v>7</v>
      </c>
      <c r="T398" s="238" t="s">
        <v>213</v>
      </c>
      <c r="U398" s="13"/>
      <c r="V398" s="238">
        <v>7</v>
      </c>
      <c r="W398" s="238" t="s">
        <v>213</v>
      </c>
      <c r="X398" s="13"/>
      <c r="Y398" s="238">
        <v>7</v>
      </c>
      <c r="Z398" s="238" t="s">
        <v>213</v>
      </c>
      <c r="AA398" s="13"/>
      <c r="AB398" s="238">
        <v>7</v>
      </c>
      <c r="AC398" s="238" t="s">
        <v>213</v>
      </c>
    </row>
    <row r="399" spans="1:29" ht="15.75" customHeight="1" x14ac:dyDescent="0.2">
      <c r="A399" s="34">
        <v>8</v>
      </c>
      <c r="B399" s="34">
        <v>4</v>
      </c>
      <c r="C399" s="34"/>
      <c r="D399" s="34">
        <v>8</v>
      </c>
      <c r="E399" s="34">
        <v>4</v>
      </c>
      <c r="F399" s="34"/>
      <c r="G399" s="34">
        <v>8</v>
      </c>
      <c r="H399" s="34">
        <v>3</v>
      </c>
      <c r="I399" s="34"/>
      <c r="J399" s="34">
        <v>8</v>
      </c>
      <c r="K399" s="34">
        <v>3</v>
      </c>
      <c r="L399" s="34"/>
      <c r="M399" s="34">
        <v>8</v>
      </c>
      <c r="N399" s="34">
        <v>2</v>
      </c>
      <c r="O399" s="34"/>
      <c r="P399" s="34">
        <v>8</v>
      </c>
      <c r="Q399" s="34" t="s">
        <v>213</v>
      </c>
      <c r="R399" s="34"/>
      <c r="S399" s="238">
        <v>8</v>
      </c>
      <c r="T399" s="238" t="s">
        <v>213</v>
      </c>
      <c r="U399" s="13"/>
      <c r="V399" s="238">
        <v>8</v>
      </c>
      <c r="W399" s="238" t="s">
        <v>213</v>
      </c>
      <c r="X399" s="13"/>
      <c r="Y399" s="238">
        <v>8</v>
      </c>
      <c r="Z399" s="238" t="s">
        <v>213</v>
      </c>
      <c r="AA399" s="13"/>
      <c r="AB399" s="238">
        <v>8</v>
      </c>
      <c r="AC399" s="238" t="s">
        <v>213</v>
      </c>
    </row>
    <row r="400" spans="1:29" ht="15.75" customHeight="1" x14ac:dyDescent="0.2">
      <c r="A400" s="34">
        <v>9</v>
      </c>
      <c r="B400" s="34">
        <v>4</v>
      </c>
      <c r="C400" s="34"/>
      <c r="D400" s="34">
        <v>9</v>
      </c>
      <c r="E400" s="34">
        <v>4</v>
      </c>
      <c r="F400" s="34"/>
      <c r="G400" s="34">
        <v>9</v>
      </c>
      <c r="H400" s="34">
        <v>4</v>
      </c>
      <c r="I400" s="34"/>
      <c r="J400" s="34">
        <v>9</v>
      </c>
      <c r="K400" s="34">
        <v>3</v>
      </c>
      <c r="L400" s="34"/>
      <c r="M400" s="34">
        <v>9</v>
      </c>
      <c r="N400" s="34">
        <v>2</v>
      </c>
      <c r="O400" s="34"/>
      <c r="P400" s="34">
        <v>9</v>
      </c>
      <c r="Q400" s="34">
        <v>1</v>
      </c>
      <c r="R400" s="34"/>
      <c r="S400" s="238">
        <v>9</v>
      </c>
      <c r="T400" s="238" t="s">
        <v>213</v>
      </c>
      <c r="U400" s="13"/>
      <c r="V400" s="238">
        <v>9</v>
      </c>
      <c r="W400" s="238" t="s">
        <v>213</v>
      </c>
      <c r="X400" s="13"/>
      <c r="Y400" s="238">
        <v>9</v>
      </c>
      <c r="Z400" s="238" t="s">
        <v>213</v>
      </c>
      <c r="AA400" s="13"/>
      <c r="AB400" s="238">
        <v>9</v>
      </c>
      <c r="AC400" s="238" t="s">
        <v>213</v>
      </c>
    </row>
    <row r="401" spans="1:29" ht="15.75" customHeight="1" x14ac:dyDescent="0.2">
      <c r="A401" s="34">
        <v>10</v>
      </c>
      <c r="B401" s="34">
        <v>4</v>
      </c>
      <c r="C401" s="34"/>
      <c r="D401" s="34">
        <v>10</v>
      </c>
      <c r="E401" s="34">
        <v>4</v>
      </c>
      <c r="F401" s="34"/>
      <c r="G401" s="34">
        <v>10</v>
      </c>
      <c r="H401" s="34">
        <v>4</v>
      </c>
      <c r="I401" s="34"/>
      <c r="J401" s="34">
        <v>10</v>
      </c>
      <c r="K401" s="34">
        <v>3</v>
      </c>
      <c r="L401" s="34"/>
      <c r="M401" s="34">
        <v>10</v>
      </c>
      <c r="N401" s="34">
        <v>3</v>
      </c>
      <c r="O401" s="34"/>
      <c r="P401" s="34">
        <v>10</v>
      </c>
      <c r="Q401" s="34">
        <v>2</v>
      </c>
      <c r="R401" s="34"/>
      <c r="S401" s="238">
        <v>10</v>
      </c>
      <c r="T401" s="238" t="s">
        <v>213</v>
      </c>
      <c r="U401" s="13"/>
      <c r="V401" s="238">
        <v>10</v>
      </c>
      <c r="W401" s="238" t="s">
        <v>213</v>
      </c>
      <c r="X401" s="13"/>
      <c r="Y401" s="238">
        <v>10</v>
      </c>
      <c r="Z401" s="238" t="s">
        <v>213</v>
      </c>
      <c r="AA401" s="13"/>
      <c r="AB401" s="238">
        <v>10</v>
      </c>
      <c r="AC401" s="238" t="s">
        <v>213</v>
      </c>
    </row>
    <row r="402" spans="1:29" ht="15.75" customHeight="1" x14ac:dyDescent="0.2">
      <c r="A402" s="34">
        <v>11</v>
      </c>
      <c r="B402" s="34">
        <v>4</v>
      </c>
      <c r="C402" s="34"/>
      <c r="D402" s="34">
        <v>11</v>
      </c>
      <c r="E402" s="34">
        <v>4</v>
      </c>
      <c r="F402" s="34"/>
      <c r="G402" s="34">
        <v>11</v>
      </c>
      <c r="H402" s="34">
        <v>4</v>
      </c>
      <c r="I402" s="34"/>
      <c r="J402" s="34">
        <v>11</v>
      </c>
      <c r="K402" s="34">
        <v>4</v>
      </c>
      <c r="L402" s="13"/>
      <c r="M402" s="34">
        <v>11</v>
      </c>
      <c r="N402" s="34">
        <v>3</v>
      </c>
      <c r="O402" s="13"/>
      <c r="P402" s="34">
        <v>11</v>
      </c>
      <c r="Q402" s="34">
        <v>2</v>
      </c>
      <c r="R402" s="13"/>
      <c r="S402" s="238">
        <v>11</v>
      </c>
      <c r="T402" s="238">
        <v>1</v>
      </c>
      <c r="U402" s="13"/>
      <c r="V402" s="238">
        <v>11</v>
      </c>
      <c r="W402" s="238" t="s">
        <v>213</v>
      </c>
      <c r="X402" s="13"/>
      <c r="Y402" s="238">
        <v>11</v>
      </c>
      <c r="Z402" s="238" t="s">
        <v>213</v>
      </c>
      <c r="AA402" s="13"/>
      <c r="AB402" s="238">
        <v>11</v>
      </c>
      <c r="AC402" s="238" t="s">
        <v>213</v>
      </c>
    </row>
    <row r="403" spans="1:29" ht="15.75" customHeight="1" x14ac:dyDescent="0.2">
      <c r="A403" s="34">
        <v>12</v>
      </c>
      <c r="B403" s="34">
        <v>4</v>
      </c>
      <c r="C403" s="34"/>
      <c r="D403" s="34">
        <v>12</v>
      </c>
      <c r="E403" s="34">
        <v>4</v>
      </c>
      <c r="F403" s="34"/>
      <c r="G403" s="34">
        <v>12</v>
      </c>
      <c r="H403" s="34">
        <v>4</v>
      </c>
      <c r="I403" s="34"/>
      <c r="J403" s="34">
        <v>12</v>
      </c>
      <c r="K403" s="34">
        <v>4</v>
      </c>
      <c r="L403" s="13"/>
      <c r="M403" s="34">
        <v>12</v>
      </c>
      <c r="N403" s="34">
        <v>3</v>
      </c>
      <c r="O403" s="13"/>
      <c r="P403" s="34">
        <v>12</v>
      </c>
      <c r="Q403" s="34">
        <v>3</v>
      </c>
      <c r="R403" s="13"/>
      <c r="S403" s="238">
        <v>12</v>
      </c>
      <c r="T403" s="238">
        <v>2</v>
      </c>
      <c r="U403" s="13"/>
      <c r="V403" s="238">
        <v>12</v>
      </c>
      <c r="W403" s="238" t="s">
        <v>213</v>
      </c>
      <c r="X403" s="13"/>
      <c r="Y403" s="238">
        <v>12</v>
      </c>
      <c r="Z403" s="238" t="s">
        <v>213</v>
      </c>
      <c r="AA403" s="13"/>
      <c r="AB403" s="238">
        <v>12</v>
      </c>
      <c r="AC403" s="238" t="s">
        <v>213</v>
      </c>
    </row>
    <row r="404" spans="1:29" ht="15.75" customHeight="1" x14ac:dyDescent="0.2">
      <c r="A404" s="34">
        <v>13</v>
      </c>
      <c r="B404" s="34">
        <v>4</v>
      </c>
      <c r="C404" s="34"/>
      <c r="D404" s="34">
        <v>13</v>
      </c>
      <c r="E404" s="34">
        <v>4</v>
      </c>
      <c r="F404" s="34"/>
      <c r="G404" s="34">
        <v>13</v>
      </c>
      <c r="H404" s="34">
        <v>4</v>
      </c>
      <c r="I404" s="34"/>
      <c r="J404" s="34">
        <v>13</v>
      </c>
      <c r="K404" s="34">
        <v>4</v>
      </c>
      <c r="L404" s="13"/>
      <c r="M404" s="34">
        <v>13</v>
      </c>
      <c r="N404" s="34">
        <v>4</v>
      </c>
      <c r="O404" s="13"/>
      <c r="P404" s="34">
        <v>13</v>
      </c>
      <c r="Q404" s="34">
        <v>3</v>
      </c>
      <c r="R404" s="13"/>
      <c r="S404" s="238">
        <v>13</v>
      </c>
      <c r="T404" s="238">
        <v>2</v>
      </c>
      <c r="U404" s="13"/>
      <c r="V404" s="238">
        <v>13</v>
      </c>
      <c r="W404" s="238">
        <v>1</v>
      </c>
      <c r="X404" s="13"/>
      <c r="Y404" s="238">
        <v>13</v>
      </c>
      <c r="Z404" s="238" t="s">
        <v>213</v>
      </c>
      <c r="AA404" s="13"/>
      <c r="AB404" s="238">
        <v>13</v>
      </c>
      <c r="AC404" s="238" t="s">
        <v>213</v>
      </c>
    </row>
    <row r="405" spans="1:29" ht="15.75" customHeight="1" x14ac:dyDescent="0.2">
      <c r="A405" s="34">
        <v>14</v>
      </c>
      <c r="B405" s="34">
        <v>4</v>
      </c>
      <c r="C405" s="34"/>
      <c r="D405" s="34">
        <v>14</v>
      </c>
      <c r="E405" s="34">
        <v>4</v>
      </c>
      <c r="F405" s="34"/>
      <c r="G405" s="34">
        <v>14</v>
      </c>
      <c r="H405" s="34">
        <v>4</v>
      </c>
      <c r="I405" s="34"/>
      <c r="J405" s="34">
        <v>14</v>
      </c>
      <c r="K405" s="34">
        <v>4</v>
      </c>
      <c r="L405" s="13"/>
      <c r="M405" s="34">
        <v>14</v>
      </c>
      <c r="N405" s="34">
        <v>4</v>
      </c>
      <c r="O405" s="13"/>
      <c r="P405" s="34">
        <v>14</v>
      </c>
      <c r="Q405" s="34">
        <v>3</v>
      </c>
      <c r="R405" s="13"/>
      <c r="S405" s="238">
        <v>14</v>
      </c>
      <c r="T405" s="238">
        <v>3</v>
      </c>
      <c r="U405" s="13"/>
      <c r="V405" s="238">
        <v>14</v>
      </c>
      <c r="W405" s="238">
        <v>2</v>
      </c>
      <c r="X405" s="13"/>
      <c r="Y405" s="238">
        <v>14</v>
      </c>
      <c r="Z405" s="238" t="s">
        <v>213</v>
      </c>
      <c r="AA405" s="13"/>
      <c r="AB405" s="238">
        <v>14</v>
      </c>
      <c r="AC405" s="238" t="s">
        <v>213</v>
      </c>
    </row>
    <row r="406" spans="1:29" ht="15.75" customHeight="1" x14ac:dyDescent="0.2">
      <c r="A406" s="34">
        <v>15</v>
      </c>
      <c r="B406" s="34">
        <v>4</v>
      </c>
      <c r="C406" s="34"/>
      <c r="D406" s="34">
        <v>15</v>
      </c>
      <c r="E406" s="34">
        <v>4</v>
      </c>
      <c r="F406" s="34"/>
      <c r="G406" s="34">
        <v>15</v>
      </c>
      <c r="H406" s="34">
        <v>4</v>
      </c>
      <c r="I406" s="34"/>
      <c r="J406" s="34">
        <v>15</v>
      </c>
      <c r="K406" s="34">
        <v>4</v>
      </c>
      <c r="L406" s="13"/>
      <c r="M406" s="34">
        <v>15</v>
      </c>
      <c r="N406" s="34">
        <v>4</v>
      </c>
      <c r="O406" s="13"/>
      <c r="P406" s="34">
        <v>15</v>
      </c>
      <c r="Q406" s="34">
        <v>4</v>
      </c>
      <c r="R406" s="13"/>
      <c r="S406" s="238">
        <v>15</v>
      </c>
      <c r="T406" s="238">
        <v>3</v>
      </c>
      <c r="U406" s="13"/>
      <c r="V406" s="238">
        <v>15</v>
      </c>
      <c r="W406" s="238">
        <v>2</v>
      </c>
      <c r="X406" s="13"/>
      <c r="Y406" s="238">
        <v>15</v>
      </c>
      <c r="Z406" s="238">
        <v>1</v>
      </c>
      <c r="AA406" s="13"/>
      <c r="AB406" s="238">
        <v>15</v>
      </c>
      <c r="AC406" s="238" t="s">
        <v>213</v>
      </c>
    </row>
    <row r="407" spans="1:29" ht="15.75" customHeight="1" x14ac:dyDescent="0.2">
      <c r="A407" s="34">
        <v>16</v>
      </c>
      <c r="B407" s="34">
        <v>4</v>
      </c>
      <c r="C407" s="34"/>
      <c r="D407" s="34">
        <v>16</v>
      </c>
      <c r="E407" s="34">
        <v>4</v>
      </c>
      <c r="F407" s="34"/>
      <c r="G407" s="34">
        <v>16</v>
      </c>
      <c r="H407" s="34">
        <v>4</v>
      </c>
      <c r="I407" s="34"/>
      <c r="J407" s="34">
        <v>16</v>
      </c>
      <c r="K407" s="34">
        <v>4</v>
      </c>
      <c r="L407" s="13"/>
      <c r="M407" s="34">
        <v>16</v>
      </c>
      <c r="N407" s="34">
        <v>4</v>
      </c>
      <c r="O407" s="13"/>
      <c r="P407" s="34">
        <v>16</v>
      </c>
      <c r="Q407" s="34">
        <v>4</v>
      </c>
      <c r="R407" s="13"/>
      <c r="S407" s="238">
        <v>16</v>
      </c>
      <c r="T407" s="238">
        <v>3</v>
      </c>
      <c r="U407" s="13"/>
      <c r="V407" s="238">
        <v>16</v>
      </c>
      <c r="W407" s="238">
        <v>3</v>
      </c>
      <c r="X407" s="13"/>
      <c r="Y407" s="238">
        <v>16</v>
      </c>
      <c r="Z407" s="238">
        <v>2</v>
      </c>
      <c r="AA407" s="13"/>
      <c r="AB407" s="238">
        <v>16</v>
      </c>
      <c r="AC407" s="238" t="s">
        <v>213</v>
      </c>
    </row>
    <row r="408" spans="1:29" ht="15.75" customHeight="1" x14ac:dyDescent="0.2">
      <c r="A408" s="34">
        <v>17</v>
      </c>
      <c r="B408" s="34">
        <v>4</v>
      </c>
      <c r="C408" s="34"/>
      <c r="D408" s="34">
        <v>17</v>
      </c>
      <c r="E408" s="34">
        <v>4</v>
      </c>
      <c r="F408" s="34"/>
      <c r="G408" s="34">
        <v>17</v>
      </c>
      <c r="H408" s="34">
        <v>4</v>
      </c>
      <c r="I408" s="34"/>
      <c r="J408" s="34">
        <v>17</v>
      </c>
      <c r="K408" s="34">
        <v>4</v>
      </c>
      <c r="L408" s="13"/>
      <c r="M408" s="34">
        <v>17</v>
      </c>
      <c r="N408" s="34">
        <v>4</v>
      </c>
      <c r="O408" s="13"/>
      <c r="P408" s="34">
        <v>17</v>
      </c>
      <c r="Q408" s="34">
        <v>4</v>
      </c>
      <c r="R408" s="13"/>
      <c r="S408" s="238">
        <v>17</v>
      </c>
      <c r="T408" s="238">
        <v>4</v>
      </c>
      <c r="U408" s="13"/>
      <c r="V408" s="238">
        <v>17</v>
      </c>
      <c r="W408" s="238">
        <v>3</v>
      </c>
      <c r="X408" s="13"/>
      <c r="Y408" s="238">
        <v>17</v>
      </c>
      <c r="Z408" s="238">
        <v>2</v>
      </c>
      <c r="AA408" s="13"/>
      <c r="AB408" s="238">
        <v>17</v>
      </c>
      <c r="AC408" s="238">
        <v>1</v>
      </c>
    </row>
    <row r="409" spans="1:29" ht="15.75" customHeight="1" x14ac:dyDescent="0.2">
      <c r="A409" s="34">
        <v>18</v>
      </c>
      <c r="B409" s="34">
        <v>4</v>
      </c>
      <c r="C409" s="34"/>
      <c r="D409" s="34">
        <v>18</v>
      </c>
      <c r="E409" s="34">
        <v>4</v>
      </c>
      <c r="F409" s="34"/>
      <c r="G409" s="34">
        <v>18</v>
      </c>
      <c r="H409" s="34">
        <v>4</v>
      </c>
      <c r="I409" s="34"/>
      <c r="J409" s="34">
        <v>18</v>
      </c>
      <c r="K409" s="34">
        <v>4</v>
      </c>
      <c r="L409" s="13"/>
      <c r="M409" s="34">
        <v>18</v>
      </c>
      <c r="N409" s="34">
        <v>4</v>
      </c>
      <c r="O409" s="13"/>
      <c r="P409" s="34">
        <v>18</v>
      </c>
      <c r="Q409" s="34">
        <v>4</v>
      </c>
      <c r="R409" s="13"/>
      <c r="S409" s="238">
        <v>18</v>
      </c>
      <c r="T409" s="238">
        <v>4</v>
      </c>
      <c r="U409" s="13"/>
      <c r="V409" s="238">
        <v>18</v>
      </c>
      <c r="W409" s="238">
        <v>3</v>
      </c>
      <c r="X409" s="13"/>
      <c r="Y409" s="238">
        <v>18</v>
      </c>
      <c r="Z409" s="238">
        <v>3</v>
      </c>
      <c r="AA409" s="13"/>
      <c r="AB409" s="238">
        <v>18</v>
      </c>
      <c r="AC409" s="238">
        <v>2</v>
      </c>
    </row>
    <row r="410" spans="1:29" ht="15.75" customHeight="1" x14ac:dyDescent="0.2">
      <c r="A410" s="34">
        <v>19</v>
      </c>
      <c r="B410" s="34">
        <v>4</v>
      </c>
      <c r="C410" s="34"/>
      <c r="D410" s="34">
        <v>19</v>
      </c>
      <c r="E410" s="34">
        <v>4</v>
      </c>
      <c r="F410" s="34"/>
      <c r="G410" s="34">
        <v>19</v>
      </c>
      <c r="H410" s="34">
        <v>4</v>
      </c>
      <c r="I410" s="34"/>
      <c r="J410" s="34">
        <v>19</v>
      </c>
      <c r="K410" s="34">
        <v>4</v>
      </c>
      <c r="L410" s="13"/>
      <c r="M410" s="34">
        <v>19</v>
      </c>
      <c r="N410" s="34">
        <v>4</v>
      </c>
      <c r="O410" s="13"/>
      <c r="P410" s="34">
        <v>19</v>
      </c>
      <c r="Q410" s="34">
        <v>4</v>
      </c>
      <c r="R410" s="13"/>
      <c r="S410" s="238">
        <v>19</v>
      </c>
      <c r="T410" s="238">
        <v>4</v>
      </c>
      <c r="U410" s="13"/>
      <c r="V410" s="238">
        <v>19</v>
      </c>
      <c r="W410" s="238">
        <v>4</v>
      </c>
      <c r="X410" s="13"/>
      <c r="Y410" s="238">
        <v>19</v>
      </c>
      <c r="Z410" s="238">
        <v>3</v>
      </c>
      <c r="AA410" s="13"/>
      <c r="AB410" s="238">
        <v>19</v>
      </c>
      <c r="AC410" s="238">
        <v>3</v>
      </c>
    </row>
    <row r="411" spans="1:29" ht="15.75" customHeight="1" x14ac:dyDescent="0.2">
      <c r="A411" s="34">
        <v>20</v>
      </c>
      <c r="B411" s="34">
        <v>4</v>
      </c>
      <c r="C411" s="34"/>
      <c r="D411" s="34">
        <v>20</v>
      </c>
      <c r="E411" s="34">
        <v>4</v>
      </c>
      <c r="F411" s="34"/>
      <c r="G411" s="34">
        <v>20</v>
      </c>
      <c r="H411" s="34">
        <v>4</v>
      </c>
      <c r="I411" s="34"/>
      <c r="J411" s="34">
        <v>20</v>
      </c>
      <c r="K411" s="34">
        <v>4</v>
      </c>
      <c r="L411" s="13"/>
      <c r="M411" s="34">
        <v>20</v>
      </c>
      <c r="N411" s="34">
        <v>4</v>
      </c>
      <c r="O411" s="13"/>
      <c r="P411" s="34">
        <v>20</v>
      </c>
      <c r="Q411" s="34">
        <v>4</v>
      </c>
      <c r="R411" s="13"/>
      <c r="S411" s="240">
        <v>20</v>
      </c>
      <c r="T411" s="240">
        <v>4</v>
      </c>
      <c r="U411" s="13"/>
      <c r="V411" s="240">
        <v>20</v>
      </c>
      <c r="W411" s="240">
        <v>4</v>
      </c>
      <c r="X411" s="13"/>
      <c r="Y411" s="240">
        <v>20</v>
      </c>
      <c r="Z411" s="240">
        <v>4</v>
      </c>
      <c r="AA411" s="13"/>
      <c r="AB411" s="240">
        <v>20</v>
      </c>
      <c r="AC411" s="240">
        <v>4</v>
      </c>
    </row>
    <row r="412" spans="1:29" ht="12.75" customHeight="1" x14ac:dyDescent="0.2"/>
    <row r="413" spans="1:29" ht="15.75" customHeight="1" x14ac:dyDescent="0.2">
      <c r="A413" s="458" t="s">
        <v>481</v>
      </c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 x14ac:dyDescent="0.2">
      <c r="A414" s="47" t="s">
        <v>482</v>
      </c>
      <c r="B414" s="47" t="s">
        <v>454</v>
      </c>
      <c r="C414" s="62"/>
      <c r="D414" s="47" t="s">
        <v>482</v>
      </c>
      <c r="E414" s="47" t="s">
        <v>455</v>
      </c>
      <c r="F414" s="62"/>
      <c r="G414" s="47" t="s">
        <v>482</v>
      </c>
      <c r="H414" s="47" t="s">
        <v>456</v>
      </c>
      <c r="I414" s="62"/>
      <c r="J414" s="47" t="s">
        <v>482</v>
      </c>
      <c r="K414" s="47" t="s">
        <v>457</v>
      </c>
      <c r="L414" s="62"/>
      <c r="M414" s="47" t="s">
        <v>482</v>
      </c>
      <c r="N414" s="47" t="s">
        <v>458</v>
      </c>
      <c r="O414" s="62"/>
      <c r="P414" s="47" t="s">
        <v>482</v>
      </c>
      <c r="Q414" s="47" t="s">
        <v>459</v>
      </c>
      <c r="R414" s="62"/>
      <c r="S414" s="47" t="s">
        <v>482</v>
      </c>
      <c r="T414" s="236" t="s">
        <v>460</v>
      </c>
      <c r="U414" s="13"/>
      <c r="V414" s="47" t="s">
        <v>482</v>
      </c>
      <c r="W414" s="236" t="s">
        <v>474</v>
      </c>
      <c r="X414" s="13"/>
      <c r="Y414" s="47" t="s">
        <v>482</v>
      </c>
      <c r="Z414" s="236" t="s">
        <v>475</v>
      </c>
      <c r="AA414" s="13"/>
      <c r="AB414" s="47" t="s">
        <v>482</v>
      </c>
      <c r="AC414" s="236" t="s">
        <v>476</v>
      </c>
    </row>
    <row r="415" spans="1:29" ht="15.75" customHeight="1" x14ac:dyDescent="0.2">
      <c r="A415" s="34">
        <v>1</v>
      </c>
      <c r="B415" s="34">
        <v>5</v>
      </c>
      <c r="C415" s="34"/>
      <c r="D415" s="34">
        <v>1</v>
      </c>
      <c r="E415" s="34">
        <v>3</v>
      </c>
      <c r="F415" s="34"/>
      <c r="G415" s="34">
        <v>1</v>
      </c>
      <c r="H415" s="34" t="s">
        <v>213</v>
      </c>
      <c r="I415" s="34"/>
      <c r="J415" s="34">
        <v>1</v>
      </c>
      <c r="K415" s="34" t="s">
        <v>213</v>
      </c>
      <c r="L415" s="34"/>
      <c r="M415" s="34">
        <v>1</v>
      </c>
      <c r="N415" s="34" t="s">
        <v>213</v>
      </c>
      <c r="O415" s="34"/>
      <c r="P415" s="34">
        <v>1</v>
      </c>
      <c r="Q415" s="34" t="s">
        <v>213</v>
      </c>
      <c r="R415" s="34"/>
      <c r="S415" s="238">
        <v>1</v>
      </c>
      <c r="T415" s="238" t="s">
        <v>213</v>
      </c>
      <c r="U415" s="13"/>
      <c r="V415" s="238">
        <v>1</v>
      </c>
      <c r="W415" s="238" t="s">
        <v>213</v>
      </c>
      <c r="X415" s="13"/>
      <c r="Y415" s="238">
        <v>1</v>
      </c>
      <c r="Z415" s="238" t="s">
        <v>213</v>
      </c>
      <c r="AA415" s="13"/>
      <c r="AB415" s="238">
        <v>1</v>
      </c>
      <c r="AC415" s="238" t="s">
        <v>213</v>
      </c>
    </row>
    <row r="416" spans="1:29" ht="15.75" customHeight="1" x14ac:dyDescent="0.2">
      <c r="A416" s="34">
        <v>2</v>
      </c>
      <c r="B416" s="34">
        <v>6</v>
      </c>
      <c r="C416" s="34"/>
      <c r="D416" s="34">
        <v>2</v>
      </c>
      <c r="E416" s="34">
        <v>4</v>
      </c>
      <c r="F416" s="34"/>
      <c r="G416" s="34">
        <v>2</v>
      </c>
      <c r="H416" s="34" t="s">
        <v>213</v>
      </c>
      <c r="I416" s="34"/>
      <c r="J416" s="34">
        <v>2</v>
      </c>
      <c r="K416" s="34" t="s">
        <v>213</v>
      </c>
      <c r="L416" s="34"/>
      <c r="M416" s="34">
        <v>2</v>
      </c>
      <c r="N416" s="34" t="s">
        <v>213</v>
      </c>
      <c r="O416" s="34"/>
      <c r="P416" s="34">
        <v>2</v>
      </c>
      <c r="Q416" s="34" t="s">
        <v>213</v>
      </c>
      <c r="R416" s="34"/>
      <c r="S416" s="238">
        <v>2</v>
      </c>
      <c r="T416" s="238" t="s">
        <v>213</v>
      </c>
      <c r="U416" s="13"/>
      <c r="V416" s="238">
        <v>2</v>
      </c>
      <c r="W416" s="238" t="s">
        <v>213</v>
      </c>
      <c r="X416" s="13"/>
      <c r="Y416" s="238">
        <v>2</v>
      </c>
      <c r="Z416" s="238" t="s">
        <v>213</v>
      </c>
      <c r="AA416" s="13"/>
      <c r="AB416" s="238">
        <v>2</v>
      </c>
      <c r="AC416" s="238" t="s">
        <v>213</v>
      </c>
    </row>
    <row r="417" spans="1:29" ht="15.75" customHeight="1" x14ac:dyDescent="0.2">
      <c r="A417" s="34">
        <v>3</v>
      </c>
      <c r="B417" s="34">
        <v>6</v>
      </c>
      <c r="C417" s="34"/>
      <c r="D417" s="34">
        <v>3</v>
      </c>
      <c r="E417" s="34">
        <v>5</v>
      </c>
      <c r="F417" s="34"/>
      <c r="G417" s="34">
        <v>3</v>
      </c>
      <c r="H417" s="34" t="s">
        <v>213</v>
      </c>
      <c r="I417" s="34"/>
      <c r="J417" s="34">
        <v>3</v>
      </c>
      <c r="K417" s="34" t="s">
        <v>213</v>
      </c>
      <c r="L417" s="34"/>
      <c r="M417" s="34">
        <v>3</v>
      </c>
      <c r="N417" s="34" t="s">
        <v>213</v>
      </c>
      <c r="O417" s="34"/>
      <c r="P417" s="34">
        <v>3</v>
      </c>
      <c r="Q417" s="34" t="s">
        <v>213</v>
      </c>
      <c r="R417" s="34"/>
      <c r="S417" s="238">
        <v>3</v>
      </c>
      <c r="T417" s="238" t="s">
        <v>213</v>
      </c>
      <c r="U417" s="13"/>
      <c r="V417" s="238">
        <v>3</v>
      </c>
      <c r="W417" s="238" t="s">
        <v>213</v>
      </c>
      <c r="X417" s="13"/>
      <c r="Y417" s="238">
        <v>3</v>
      </c>
      <c r="Z417" s="238" t="s">
        <v>213</v>
      </c>
      <c r="AA417" s="13"/>
      <c r="AB417" s="238">
        <v>3</v>
      </c>
      <c r="AC417" s="238" t="s">
        <v>213</v>
      </c>
    </row>
    <row r="418" spans="1:29" ht="15.75" customHeight="1" x14ac:dyDescent="0.2">
      <c r="A418" s="34">
        <v>4</v>
      </c>
      <c r="B418" s="34">
        <v>6</v>
      </c>
      <c r="C418" s="34"/>
      <c r="D418" s="34">
        <v>4</v>
      </c>
      <c r="E418" s="34">
        <v>6</v>
      </c>
      <c r="F418" s="34"/>
      <c r="G418" s="34">
        <v>4</v>
      </c>
      <c r="H418" s="34">
        <v>3</v>
      </c>
      <c r="I418" s="34"/>
      <c r="J418" s="34">
        <v>4</v>
      </c>
      <c r="K418" s="34" t="s">
        <v>213</v>
      </c>
      <c r="L418" s="34"/>
      <c r="M418" s="34">
        <v>4</v>
      </c>
      <c r="N418" s="34" t="s">
        <v>213</v>
      </c>
      <c r="O418" s="34"/>
      <c r="P418" s="34">
        <v>4</v>
      </c>
      <c r="Q418" s="34" t="s">
        <v>213</v>
      </c>
      <c r="R418" s="34"/>
      <c r="S418" s="238">
        <v>4</v>
      </c>
      <c r="T418" s="238" t="s">
        <v>213</v>
      </c>
      <c r="U418" s="13"/>
      <c r="V418" s="238">
        <v>4</v>
      </c>
      <c r="W418" s="238" t="s">
        <v>213</v>
      </c>
      <c r="X418" s="13"/>
      <c r="Y418" s="238">
        <v>4</v>
      </c>
      <c r="Z418" s="238" t="s">
        <v>213</v>
      </c>
      <c r="AA418" s="13"/>
      <c r="AB418" s="238">
        <v>4</v>
      </c>
      <c r="AC418" s="238" t="s">
        <v>213</v>
      </c>
    </row>
    <row r="419" spans="1:29" ht="15.75" customHeight="1" x14ac:dyDescent="0.2">
      <c r="A419" s="34">
        <v>5</v>
      </c>
      <c r="B419" s="34">
        <v>6</v>
      </c>
      <c r="C419" s="34"/>
      <c r="D419" s="34">
        <v>5</v>
      </c>
      <c r="E419" s="34">
        <v>6</v>
      </c>
      <c r="F419" s="34"/>
      <c r="G419" s="34">
        <v>5</v>
      </c>
      <c r="H419" s="34">
        <v>4</v>
      </c>
      <c r="I419" s="34"/>
      <c r="J419" s="34">
        <v>5</v>
      </c>
      <c r="K419" s="34" t="s">
        <v>213</v>
      </c>
      <c r="L419" s="34"/>
      <c r="M419" s="34">
        <v>5</v>
      </c>
      <c r="N419" s="34" t="s">
        <v>213</v>
      </c>
      <c r="O419" s="34"/>
      <c r="P419" s="34">
        <v>5</v>
      </c>
      <c r="Q419" s="34" t="s">
        <v>213</v>
      </c>
      <c r="R419" s="34"/>
      <c r="S419" s="238">
        <v>5</v>
      </c>
      <c r="T419" s="238" t="s">
        <v>213</v>
      </c>
      <c r="U419" s="13"/>
      <c r="V419" s="238">
        <v>5</v>
      </c>
      <c r="W419" s="238" t="s">
        <v>213</v>
      </c>
      <c r="X419" s="13"/>
      <c r="Y419" s="238">
        <v>5</v>
      </c>
      <c r="Z419" s="238" t="s">
        <v>213</v>
      </c>
      <c r="AA419" s="13"/>
      <c r="AB419" s="238">
        <v>5</v>
      </c>
      <c r="AC419" s="238" t="s">
        <v>213</v>
      </c>
    </row>
    <row r="420" spans="1:29" ht="15.75" customHeight="1" x14ac:dyDescent="0.2">
      <c r="A420" s="34">
        <v>6</v>
      </c>
      <c r="B420" s="34">
        <v>6</v>
      </c>
      <c r="C420" s="34"/>
      <c r="D420" s="34">
        <v>6</v>
      </c>
      <c r="E420" s="34">
        <v>6</v>
      </c>
      <c r="F420" s="34"/>
      <c r="G420" s="34">
        <v>6</v>
      </c>
      <c r="H420" s="34">
        <v>5</v>
      </c>
      <c r="I420" s="34"/>
      <c r="J420" s="34">
        <v>6</v>
      </c>
      <c r="K420" s="34">
        <v>3</v>
      </c>
      <c r="L420" s="34"/>
      <c r="M420" s="34">
        <v>6</v>
      </c>
      <c r="N420" s="34" t="s">
        <v>213</v>
      </c>
      <c r="O420" s="34"/>
      <c r="P420" s="34">
        <v>6</v>
      </c>
      <c r="Q420" s="34" t="s">
        <v>213</v>
      </c>
      <c r="R420" s="34"/>
      <c r="S420" s="238">
        <v>6</v>
      </c>
      <c r="T420" s="238" t="s">
        <v>213</v>
      </c>
      <c r="U420" s="13"/>
      <c r="V420" s="238">
        <v>6</v>
      </c>
      <c r="W420" s="238" t="s">
        <v>213</v>
      </c>
      <c r="X420" s="13"/>
      <c r="Y420" s="238">
        <v>6</v>
      </c>
      <c r="Z420" s="238" t="s">
        <v>213</v>
      </c>
      <c r="AA420" s="13"/>
      <c r="AB420" s="238">
        <v>6</v>
      </c>
      <c r="AC420" s="238" t="s">
        <v>213</v>
      </c>
    </row>
    <row r="421" spans="1:29" ht="15.75" customHeight="1" x14ac:dyDescent="0.2">
      <c r="A421" s="34">
        <v>7</v>
      </c>
      <c r="B421" s="34">
        <v>6</v>
      </c>
      <c r="C421" s="34"/>
      <c r="D421" s="34">
        <v>7</v>
      </c>
      <c r="E421" s="34">
        <v>6</v>
      </c>
      <c r="F421" s="34"/>
      <c r="G421" s="34">
        <v>7</v>
      </c>
      <c r="H421" s="34">
        <v>6</v>
      </c>
      <c r="I421" s="34"/>
      <c r="J421" s="34">
        <v>7</v>
      </c>
      <c r="K421" s="34">
        <v>4</v>
      </c>
      <c r="L421" s="34"/>
      <c r="M421" s="34">
        <v>7</v>
      </c>
      <c r="N421" s="34" t="s">
        <v>213</v>
      </c>
      <c r="O421" s="34"/>
      <c r="P421" s="34">
        <v>7</v>
      </c>
      <c r="Q421" s="34" t="s">
        <v>213</v>
      </c>
      <c r="R421" s="34"/>
      <c r="S421" s="238">
        <v>7</v>
      </c>
      <c r="T421" s="238" t="s">
        <v>213</v>
      </c>
      <c r="U421" s="13"/>
      <c r="V421" s="238">
        <v>7</v>
      </c>
      <c r="W421" s="238" t="s">
        <v>213</v>
      </c>
      <c r="X421" s="13"/>
      <c r="Y421" s="238">
        <v>7</v>
      </c>
      <c r="Z421" s="238" t="s">
        <v>213</v>
      </c>
      <c r="AA421" s="13"/>
      <c r="AB421" s="238">
        <v>7</v>
      </c>
      <c r="AC421" s="238" t="s">
        <v>213</v>
      </c>
    </row>
    <row r="422" spans="1:29" ht="15.75" customHeight="1" x14ac:dyDescent="0.2">
      <c r="A422" s="34">
        <v>8</v>
      </c>
      <c r="B422" s="34">
        <v>6</v>
      </c>
      <c r="C422" s="34"/>
      <c r="D422" s="34">
        <v>8</v>
      </c>
      <c r="E422" s="34">
        <v>6</v>
      </c>
      <c r="F422" s="34"/>
      <c r="G422" s="34">
        <v>8</v>
      </c>
      <c r="H422" s="34">
        <v>6</v>
      </c>
      <c r="I422" s="34"/>
      <c r="J422" s="34">
        <v>8</v>
      </c>
      <c r="K422" s="34">
        <v>5</v>
      </c>
      <c r="L422" s="34"/>
      <c r="M422" s="34">
        <v>8</v>
      </c>
      <c r="N422" s="34">
        <v>3</v>
      </c>
      <c r="O422" s="34"/>
      <c r="P422" s="34">
        <v>8</v>
      </c>
      <c r="Q422" s="34" t="s">
        <v>213</v>
      </c>
      <c r="R422" s="34"/>
      <c r="S422" s="238">
        <v>8</v>
      </c>
      <c r="T422" s="238" t="s">
        <v>213</v>
      </c>
      <c r="U422" s="13"/>
      <c r="V422" s="238">
        <v>8</v>
      </c>
      <c r="W422" s="238" t="s">
        <v>213</v>
      </c>
      <c r="X422" s="13"/>
      <c r="Y422" s="238">
        <v>8</v>
      </c>
      <c r="Z422" s="238" t="s">
        <v>213</v>
      </c>
      <c r="AA422" s="13"/>
      <c r="AB422" s="238">
        <v>8</v>
      </c>
      <c r="AC422" s="238" t="s">
        <v>213</v>
      </c>
    </row>
    <row r="423" spans="1:29" ht="15.75" customHeight="1" x14ac:dyDescent="0.2">
      <c r="A423" s="34">
        <v>9</v>
      </c>
      <c r="B423" s="34">
        <v>6</v>
      </c>
      <c r="C423" s="34"/>
      <c r="D423" s="34">
        <v>9</v>
      </c>
      <c r="E423" s="34">
        <v>6</v>
      </c>
      <c r="F423" s="34"/>
      <c r="G423" s="34">
        <v>9</v>
      </c>
      <c r="H423" s="34">
        <v>6</v>
      </c>
      <c r="I423" s="34"/>
      <c r="J423" s="34">
        <v>9</v>
      </c>
      <c r="K423" s="34">
        <v>6</v>
      </c>
      <c r="L423" s="34"/>
      <c r="M423" s="34">
        <v>9</v>
      </c>
      <c r="N423" s="34">
        <v>4</v>
      </c>
      <c r="O423" s="34"/>
      <c r="P423" s="34">
        <v>9</v>
      </c>
      <c r="Q423" s="34" t="s">
        <v>213</v>
      </c>
      <c r="R423" s="34"/>
      <c r="S423" s="238">
        <v>9</v>
      </c>
      <c r="T423" s="238" t="s">
        <v>213</v>
      </c>
      <c r="U423" s="13"/>
      <c r="V423" s="238">
        <v>9</v>
      </c>
      <c r="W423" s="238" t="s">
        <v>213</v>
      </c>
      <c r="X423" s="13"/>
      <c r="Y423" s="238">
        <v>9</v>
      </c>
      <c r="Z423" s="238" t="s">
        <v>213</v>
      </c>
      <c r="AA423" s="13"/>
      <c r="AB423" s="238">
        <v>9</v>
      </c>
      <c r="AC423" s="238" t="s">
        <v>213</v>
      </c>
    </row>
    <row r="424" spans="1:29" ht="15.75" customHeight="1" x14ac:dyDescent="0.2">
      <c r="A424" s="34">
        <v>10</v>
      </c>
      <c r="B424" s="34">
        <v>6</v>
      </c>
      <c r="C424" s="34"/>
      <c r="D424" s="34">
        <v>10</v>
      </c>
      <c r="E424" s="34">
        <v>6</v>
      </c>
      <c r="F424" s="34"/>
      <c r="G424" s="34">
        <v>10</v>
      </c>
      <c r="H424" s="34">
        <v>6</v>
      </c>
      <c r="I424" s="34"/>
      <c r="J424" s="34">
        <v>10</v>
      </c>
      <c r="K424" s="34">
        <v>6</v>
      </c>
      <c r="L424" s="34"/>
      <c r="M424" s="34">
        <v>10</v>
      </c>
      <c r="N424" s="34">
        <v>5</v>
      </c>
      <c r="O424" s="34"/>
      <c r="P424" s="34">
        <v>10</v>
      </c>
      <c r="Q424" s="34">
        <v>3</v>
      </c>
      <c r="R424" s="34"/>
      <c r="S424" s="238">
        <v>10</v>
      </c>
      <c r="T424" s="238" t="s">
        <v>213</v>
      </c>
      <c r="U424" s="13"/>
      <c r="V424" s="238">
        <v>10</v>
      </c>
      <c r="W424" s="238" t="s">
        <v>213</v>
      </c>
      <c r="X424" s="13"/>
      <c r="Y424" s="238">
        <v>10</v>
      </c>
      <c r="Z424" s="238" t="s">
        <v>213</v>
      </c>
      <c r="AA424" s="13"/>
      <c r="AB424" s="238">
        <v>10</v>
      </c>
      <c r="AC424" s="238" t="s">
        <v>213</v>
      </c>
    </row>
    <row r="425" spans="1:29" ht="15.75" customHeight="1" x14ac:dyDescent="0.2">
      <c r="A425" s="34">
        <v>11</v>
      </c>
      <c r="B425" s="34">
        <v>6</v>
      </c>
      <c r="C425" s="34"/>
      <c r="D425" s="34">
        <v>11</v>
      </c>
      <c r="E425" s="34">
        <v>6</v>
      </c>
      <c r="F425" s="34"/>
      <c r="G425" s="34">
        <v>11</v>
      </c>
      <c r="H425" s="34">
        <v>6</v>
      </c>
      <c r="I425" s="34"/>
      <c r="J425" s="34">
        <v>11</v>
      </c>
      <c r="K425" s="34">
        <v>6</v>
      </c>
      <c r="L425" s="13"/>
      <c r="M425" s="34">
        <v>11</v>
      </c>
      <c r="N425" s="34">
        <v>6</v>
      </c>
      <c r="O425" s="13"/>
      <c r="P425" s="34">
        <v>11</v>
      </c>
      <c r="Q425" s="34">
        <v>4</v>
      </c>
      <c r="R425" s="13"/>
      <c r="S425" s="238">
        <v>11</v>
      </c>
      <c r="T425" s="238" t="s">
        <v>213</v>
      </c>
      <c r="U425" s="13"/>
      <c r="V425" s="238">
        <v>11</v>
      </c>
      <c r="W425" s="238" t="s">
        <v>213</v>
      </c>
      <c r="X425" s="13"/>
      <c r="Y425" s="238">
        <v>11</v>
      </c>
      <c r="Z425" s="238" t="s">
        <v>213</v>
      </c>
      <c r="AA425" s="13"/>
      <c r="AB425" s="238">
        <v>11</v>
      </c>
      <c r="AC425" s="238" t="s">
        <v>213</v>
      </c>
    </row>
    <row r="426" spans="1:29" ht="15.75" customHeight="1" x14ac:dyDescent="0.2">
      <c r="A426" s="34">
        <v>12</v>
      </c>
      <c r="B426" s="34">
        <v>6</v>
      </c>
      <c r="C426" s="34"/>
      <c r="D426" s="34">
        <v>12</v>
      </c>
      <c r="E426" s="34">
        <v>6</v>
      </c>
      <c r="F426" s="34"/>
      <c r="G426" s="34">
        <v>12</v>
      </c>
      <c r="H426" s="34">
        <v>6</v>
      </c>
      <c r="I426" s="34"/>
      <c r="J426" s="34">
        <v>12</v>
      </c>
      <c r="K426" s="34">
        <v>6</v>
      </c>
      <c r="L426" s="13"/>
      <c r="M426" s="34">
        <v>12</v>
      </c>
      <c r="N426" s="34">
        <v>6</v>
      </c>
      <c r="O426" s="13"/>
      <c r="P426" s="34">
        <v>12</v>
      </c>
      <c r="Q426" s="34">
        <v>5</v>
      </c>
      <c r="R426" s="13"/>
      <c r="S426" s="238">
        <v>12</v>
      </c>
      <c r="T426" s="238">
        <v>3</v>
      </c>
      <c r="U426" s="13"/>
      <c r="V426" s="238">
        <v>12</v>
      </c>
      <c r="W426" s="238" t="s">
        <v>213</v>
      </c>
      <c r="X426" s="13"/>
      <c r="Y426" s="238">
        <v>12</v>
      </c>
      <c r="Z426" s="238" t="s">
        <v>213</v>
      </c>
      <c r="AA426" s="13"/>
      <c r="AB426" s="238">
        <v>12</v>
      </c>
      <c r="AC426" s="238" t="s">
        <v>213</v>
      </c>
    </row>
    <row r="427" spans="1:29" ht="15.75" customHeight="1" x14ac:dyDescent="0.2">
      <c r="A427" s="34">
        <v>13</v>
      </c>
      <c r="B427" s="34">
        <v>6</v>
      </c>
      <c r="C427" s="34"/>
      <c r="D427" s="34">
        <v>13</v>
      </c>
      <c r="E427" s="34">
        <v>6</v>
      </c>
      <c r="F427" s="34"/>
      <c r="G427" s="34">
        <v>13</v>
      </c>
      <c r="H427" s="34">
        <v>6</v>
      </c>
      <c r="I427" s="34"/>
      <c r="J427" s="34">
        <v>13</v>
      </c>
      <c r="K427" s="34">
        <v>6</v>
      </c>
      <c r="L427" s="13"/>
      <c r="M427" s="34">
        <v>13</v>
      </c>
      <c r="N427" s="34">
        <v>6</v>
      </c>
      <c r="O427" s="13"/>
      <c r="P427" s="34">
        <v>13</v>
      </c>
      <c r="Q427" s="34">
        <v>6</v>
      </c>
      <c r="R427" s="13"/>
      <c r="S427" s="238">
        <v>13</v>
      </c>
      <c r="T427" s="238">
        <v>4</v>
      </c>
      <c r="U427" s="13"/>
      <c r="V427" s="238">
        <v>13</v>
      </c>
      <c r="W427" s="238" t="s">
        <v>213</v>
      </c>
      <c r="X427" s="13"/>
      <c r="Y427" s="238">
        <v>13</v>
      </c>
      <c r="Z427" s="238" t="s">
        <v>213</v>
      </c>
      <c r="AA427" s="13"/>
      <c r="AB427" s="238">
        <v>13</v>
      </c>
      <c r="AC427" s="238" t="s">
        <v>213</v>
      </c>
    </row>
    <row r="428" spans="1:29" ht="15.75" customHeight="1" x14ac:dyDescent="0.2">
      <c r="A428" s="34">
        <v>14</v>
      </c>
      <c r="B428" s="34">
        <v>6</v>
      </c>
      <c r="C428" s="34"/>
      <c r="D428" s="34">
        <v>14</v>
      </c>
      <c r="E428" s="34">
        <v>6</v>
      </c>
      <c r="F428" s="34"/>
      <c r="G428" s="34">
        <v>14</v>
      </c>
      <c r="H428" s="34">
        <v>6</v>
      </c>
      <c r="I428" s="34"/>
      <c r="J428" s="34">
        <v>14</v>
      </c>
      <c r="K428" s="34">
        <v>6</v>
      </c>
      <c r="L428" s="13"/>
      <c r="M428" s="34">
        <v>14</v>
      </c>
      <c r="N428" s="34">
        <v>6</v>
      </c>
      <c r="O428" s="13"/>
      <c r="P428" s="34">
        <v>14</v>
      </c>
      <c r="Q428" s="34">
        <v>6</v>
      </c>
      <c r="R428" s="13"/>
      <c r="S428" s="238">
        <v>14</v>
      </c>
      <c r="T428" s="238">
        <v>5</v>
      </c>
      <c r="U428" s="13"/>
      <c r="V428" s="238">
        <v>14</v>
      </c>
      <c r="W428" s="238">
        <v>3</v>
      </c>
      <c r="X428" s="13"/>
      <c r="Y428" s="238">
        <v>14</v>
      </c>
      <c r="Z428" s="238" t="s">
        <v>213</v>
      </c>
      <c r="AA428" s="13"/>
      <c r="AB428" s="238">
        <v>14</v>
      </c>
      <c r="AC428" s="238" t="s">
        <v>213</v>
      </c>
    </row>
    <row r="429" spans="1:29" ht="15.75" customHeight="1" x14ac:dyDescent="0.2">
      <c r="A429" s="34">
        <v>15</v>
      </c>
      <c r="B429" s="34">
        <v>6</v>
      </c>
      <c r="C429" s="34"/>
      <c r="D429" s="34">
        <v>15</v>
      </c>
      <c r="E429" s="34">
        <v>6</v>
      </c>
      <c r="F429" s="34"/>
      <c r="G429" s="34">
        <v>15</v>
      </c>
      <c r="H429" s="34">
        <v>6</v>
      </c>
      <c r="I429" s="34"/>
      <c r="J429" s="34">
        <v>15</v>
      </c>
      <c r="K429" s="34">
        <v>6</v>
      </c>
      <c r="L429" s="13"/>
      <c r="M429" s="34">
        <v>15</v>
      </c>
      <c r="N429" s="34">
        <v>6</v>
      </c>
      <c r="O429" s="13"/>
      <c r="P429" s="34">
        <v>15</v>
      </c>
      <c r="Q429" s="34">
        <v>6</v>
      </c>
      <c r="R429" s="13"/>
      <c r="S429" s="238">
        <v>15</v>
      </c>
      <c r="T429" s="238">
        <v>6</v>
      </c>
      <c r="U429" s="13"/>
      <c r="V429" s="238">
        <v>15</v>
      </c>
      <c r="W429" s="238">
        <v>4</v>
      </c>
      <c r="X429" s="13"/>
      <c r="Y429" s="238">
        <v>15</v>
      </c>
      <c r="Z429" s="238" t="s">
        <v>213</v>
      </c>
      <c r="AA429" s="13"/>
      <c r="AB429" s="238">
        <v>15</v>
      </c>
      <c r="AC429" s="238" t="s">
        <v>213</v>
      </c>
    </row>
    <row r="430" spans="1:29" ht="15.75" customHeight="1" x14ac:dyDescent="0.2">
      <c r="A430" s="34">
        <v>16</v>
      </c>
      <c r="B430" s="34">
        <v>6</v>
      </c>
      <c r="C430" s="34"/>
      <c r="D430" s="34">
        <v>16</v>
      </c>
      <c r="E430" s="34">
        <v>6</v>
      </c>
      <c r="F430" s="34"/>
      <c r="G430" s="34">
        <v>16</v>
      </c>
      <c r="H430" s="34">
        <v>6</v>
      </c>
      <c r="I430" s="34"/>
      <c r="J430" s="34">
        <v>16</v>
      </c>
      <c r="K430" s="34">
        <v>6</v>
      </c>
      <c r="L430" s="13"/>
      <c r="M430" s="34">
        <v>16</v>
      </c>
      <c r="N430" s="34">
        <v>6</v>
      </c>
      <c r="O430" s="13"/>
      <c r="P430" s="34">
        <v>16</v>
      </c>
      <c r="Q430" s="34">
        <v>6</v>
      </c>
      <c r="R430" s="13"/>
      <c r="S430" s="238">
        <v>16</v>
      </c>
      <c r="T430" s="238">
        <v>6</v>
      </c>
      <c r="U430" s="13"/>
      <c r="V430" s="238">
        <v>16</v>
      </c>
      <c r="W430" s="238">
        <v>5</v>
      </c>
      <c r="X430" s="13"/>
      <c r="Y430" s="238">
        <v>16</v>
      </c>
      <c r="Z430" s="238">
        <v>3</v>
      </c>
      <c r="AA430" s="13"/>
      <c r="AB430" s="238">
        <v>16</v>
      </c>
      <c r="AC430" s="238" t="s">
        <v>213</v>
      </c>
    </row>
    <row r="431" spans="1:29" ht="15.75" customHeight="1" x14ac:dyDescent="0.2">
      <c r="A431" s="34">
        <v>17</v>
      </c>
      <c r="B431" s="34">
        <v>6</v>
      </c>
      <c r="C431" s="34"/>
      <c r="D431" s="34">
        <v>17</v>
      </c>
      <c r="E431" s="34">
        <v>6</v>
      </c>
      <c r="F431" s="34"/>
      <c r="G431" s="34">
        <v>17</v>
      </c>
      <c r="H431" s="34">
        <v>6</v>
      </c>
      <c r="I431" s="34"/>
      <c r="J431" s="34">
        <v>17</v>
      </c>
      <c r="K431" s="34">
        <v>6</v>
      </c>
      <c r="L431" s="13"/>
      <c r="M431" s="34">
        <v>17</v>
      </c>
      <c r="N431" s="34">
        <v>6</v>
      </c>
      <c r="O431" s="13"/>
      <c r="P431" s="34">
        <v>17</v>
      </c>
      <c r="Q431" s="34">
        <v>6</v>
      </c>
      <c r="R431" s="13"/>
      <c r="S431" s="238">
        <v>17</v>
      </c>
      <c r="T431" s="238">
        <v>6</v>
      </c>
      <c r="U431" s="13"/>
      <c r="V431" s="238">
        <v>17</v>
      </c>
      <c r="W431" s="238">
        <v>6</v>
      </c>
      <c r="X431" s="13"/>
      <c r="Y431" s="238">
        <v>17</v>
      </c>
      <c r="Z431" s="238">
        <v>4</v>
      </c>
      <c r="AA431" s="13"/>
      <c r="AB431" s="238">
        <v>17</v>
      </c>
      <c r="AC431" s="238" t="s">
        <v>213</v>
      </c>
    </row>
    <row r="432" spans="1:29" ht="15.75" customHeight="1" x14ac:dyDescent="0.2">
      <c r="A432" s="34">
        <v>18</v>
      </c>
      <c r="B432" s="34">
        <v>6</v>
      </c>
      <c r="C432" s="34"/>
      <c r="D432" s="34">
        <v>18</v>
      </c>
      <c r="E432" s="34">
        <v>6</v>
      </c>
      <c r="F432" s="34"/>
      <c r="G432" s="34">
        <v>18</v>
      </c>
      <c r="H432" s="34">
        <v>6</v>
      </c>
      <c r="I432" s="34"/>
      <c r="J432" s="34">
        <v>18</v>
      </c>
      <c r="K432" s="34">
        <v>6</v>
      </c>
      <c r="L432" s="13"/>
      <c r="M432" s="34">
        <v>18</v>
      </c>
      <c r="N432" s="34">
        <v>6</v>
      </c>
      <c r="O432" s="13"/>
      <c r="P432" s="34">
        <v>18</v>
      </c>
      <c r="Q432" s="34">
        <v>6</v>
      </c>
      <c r="R432" s="13"/>
      <c r="S432" s="238">
        <v>18</v>
      </c>
      <c r="T432" s="238">
        <v>6</v>
      </c>
      <c r="U432" s="13"/>
      <c r="V432" s="238">
        <v>18</v>
      </c>
      <c r="W432" s="238">
        <v>6</v>
      </c>
      <c r="X432" s="13"/>
      <c r="Y432" s="238">
        <v>18</v>
      </c>
      <c r="Z432" s="238">
        <v>5</v>
      </c>
      <c r="AA432" s="13"/>
      <c r="AB432" s="238">
        <v>18</v>
      </c>
      <c r="AC432" s="238">
        <v>3</v>
      </c>
    </row>
    <row r="433" spans="1:29" ht="15.75" customHeight="1" x14ac:dyDescent="0.2">
      <c r="A433" s="34">
        <v>19</v>
      </c>
      <c r="B433" s="34">
        <v>6</v>
      </c>
      <c r="C433" s="34"/>
      <c r="D433" s="34">
        <v>19</v>
      </c>
      <c r="E433" s="34">
        <v>6</v>
      </c>
      <c r="F433" s="34"/>
      <c r="G433" s="34">
        <v>19</v>
      </c>
      <c r="H433" s="34">
        <v>6</v>
      </c>
      <c r="I433" s="34"/>
      <c r="J433" s="34">
        <v>19</v>
      </c>
      <c r="K433" s="34">
        <v>6</v>
      </c>
      <c r="L433" s="13"/>
      <c r="M433" s="34">
        <v>19</v>
      </c>
      <c r="N433" s="34">
        <v>6</v>
      </c>
      <c r="O433" s="13"/>
      <c r="P433" s="34">
        <v>19</v>
      </c>
      <c r="Q433" s="34">
        <v>6</v>
      </c>
      <c r="R433" s="13"/>
      <c r="S433" s="238">
        <v>19</v>
      </c>
      <c r="T433" s="238">
        <v>6</v>
      </c>
      <c r="U433" s="13"/>
      <c r="V433" s="238">
        <v>19</v>
      </c>
      <c r="W433" s="238">
        <v>6</v>
      </c>
      <c r="X433" s="13"/>
      <c r="Y433" s="238">
        <v>19</v>
      </c>
      <c r="Z433" s="238">
        <v>6</v>
      </c>
      <c r="AA433" s="13"/>
      <c r="AB433" s="238">
        <v>19</v>
      </c>
      <c r="AC433" s="238">
        <v>4</v>
      </c>
    </row>
    <row r="434" spans="1:29" ht="15.75" customHeight="1" x14ac:dyDescent="0.2">
      <c r="A434" s="34">
        <v>20</v>
      </c>
      <c r="B434" s="34">
        <v>6</v>
      </c>
      <c r="C434" s="34"/>
      <c r="D434" s="34">
        <v>20</v>
      </c>
      <c r="E434" s="34">
        <v>6</v>
      </c>
      <c r="F434" s="34"/>
      <c r="G434" s="34">
        <v>20</v>
      </c>
      <c r="H434" s="34">
        <v>6</v>
      </c>
      <c r="I434" s="34"/>
      <c r="J434" s="34">
        <v>20</v>
      </c>
      <c r="K434" s="34">
        <v>6</v>
      </c>
      <c r="L434" s="13"/>
      <c r="M434" s="34">
        <v>20</v>
      </c>
      <c r="N434" s="34">
        <v>6</v>
      </c>
      <c r="O434" s="13"/>
      <c r="P434" s="34">
        <v>20</v>
      </c>
      <c r="Q434" s="34">
        <v>6</v>
      </c>
      <c r="R434" s="13"/>
      <c r="S434" s="240">
        <v>20</v>
      </c>
      <c r="T434" s="240">
        <v>6</v>
      </c>
      <c r="U434" s="13"/>
      <c r="V434" s="240">
        <v>20</v>
      </c>
      <c r="W434" s="240">
        <v>6</v>
      </c>
      <c r="X434" s="13"/>
      <c r="Y434" s="240">
        <v>20</v>
      </c>
      <c r="Z434" s="240">
        <v>6</v>
      </c>
      <c r="AA434" s="13"/>
      <c r="AB434" s="240">
        <v>20</v>
      </c>
      <c r="AC434" s="240">
        <v>6</v>
      </c>
    </row>
    <row r="435" spans="1:29" ht="12.75" customHeight="1" x14ac:dyDescent="0.2"/>
    <row r="436" spans="1:29" ht="12.75" customHeight="1" x14ac:dyDescent="0.2"/>
    <row r="437" spans="1:29" ht="12.75" customHeight="1" x14ac:dyDescent="0.2"/>
    <row r="438" spans="1:29" ht="12.75" customHeight="1" x14ac:dyDescent="0.2"/>
    <row r="439" spans="1:29" ht="12.75" customHeight="1" x14ac:dyDescent="0.2"/>
    <row r="440" spans="1:29" ht="15.75" customHeight="1" x14ac:dyDescent="0.2">
      <c r="A440" s="459" t="s">
        <v>483</v>
      </c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</row>
    <row r="441" spans="1:29" ht="12.75" customHeight="1" x14ac:dyDescent="0.2"/>
    <row r="442" spans="1:29" ht="15.75" customHeight="1" x14ac:dyDescent="0.2">
      <c r="A442" s="241" t="s">
        <v>484</v>
      </c>
      <c r="B442" s="10" t="s">
        <v>213</v>
      </c>
      <c r="C442" s="242" t="s">
        <v>263</v>
      </c>
      <c r="D442" s="242" t="s">
        <v>264</v>
      </c>
      <c r="E442" s="242" t="s">
        <v>265</v>
      </c>
      <c r="F442" s="242" t="s">
        <v>266</v>
      </c>
      <c r="G442" s="242" t="s">
        <v>267</v>
      </c>
      <c r="H442" s="242" t="s">
        <v>268</v>
      </c>
      <c r="I442" s="242" t="s">
        <v>269</v>
      </c>
      <c r="J442" s="242" t="s">
        <v>270</v>
      </c>
      <c r="K442" s="242" t="s">
        <v>271</v>
      </c>
      <c r="L442" s="242" t="s">
        <v>272</v>
      </c>
      <c r="M442" s="243" t="s">
        <v>3</v>
      </c>
      <c r="N442" s="244" t="s">
        <v>283</v>
      </c>
      <c r="O442" s="244" t="s">
        <v>284</v>
      </c>
      <c r="P442" s="244" t="s">
        <v>285</v>
      </c>
      <c r="Q442" s="244" t="s">
        <v>286</v>
      </c>
      <c r="R442" s="244" t="s">
        <v>287</v>
      </c>
    </row>
    <row r="443" spans="1:29" ht="15.75" customHeight="1" x14ac:dyDescent="0.25">
      <c r="A443" s="31" t="s">
        <v>71</v>
      </c>
      <c r="B443" s="45" t="s">
        <v>213</v>
      </c>
      <c r="C443" s="245" t="s">
        <v>485</v>
      </c>
      <c r="D443" s="245" t="s">
        <v>485</v>
      </c>
      <c r="E443" s="245" t="s">
        <v>485</v>
      </c>
      <c r="F443" s="245" t="s">
        <v>485</v>
      </c>
      <c r="G443" s="245" t="s">
        <v>485</v>
      </c>
      <c r="H443" s="245" t="s">
        <v>485</v>
      </c>
      <c r="I443" s="245" t="s">
        <v>485</v>
      </c>
      <c r="J443" s="245" t="s">
        <v>485</v>
      </c>
      <c r="K443" s="245" t="s">
        <v>485</v>
      </c>
      <c r="L443" s="245" t="s">
        <v>485</v>
      </c>
      <c r="M443" s="246" t="s">
        <v>486</v>
      </c>
      <c r="N443" s="245" t="s">
        <v>485</v>
      </c>
      <c r="O443" s="245" t="s">
        <v>485</v>
      </c>
      <c r="P443" s="245" t="s">
        <v>485</v>
      </c>
      <c r="Q443" s="246" t="s">
        <v>486</v>
      </c>
      <c r="R443" s="245" t="s">
        <v>485</v>
      </c>
    </row>
    <row r="444" spans="1:29" ht="15.75" customHeight="1" x14ac:dyDescent="0.25">
      <c r="A444" s="31" t="s">
        <v>74</v>
      </c>
      <c r="B444" s="45" t="s">
        <v>213</v>
      </c>
      <c r="C444" s="246" t="s">
        <v>486</v>
      </c>
      <c r="D444" s="246" t="s">
        <v>486</v>
      </c>
      <c r="E444" s="246" t="s">
        <v>486</v>
      </c>
      <c r="F444" s="246" t="s">
        <v>486</v>
      </c>
      <c r="G444" s="246" t="s">
        <v>486</v>
      </c>
      <c r="H444" s="246" t="s">
        <v>486</v>
      </c>
      <c r="I444" s="246" t="s">
        <v>486</v>
      </c>
      <c r="J444" s="246" t="s">
        <v>486</v>
      </c>
      <c r="K444" s="246" t="s">
        <v>486</v>
      </c>
      <c r="L444" s="246" t="s">
        <v>486</v>
      </c>
      <c r="M444" s="246" t="s">
        <v>486</v>
      </c>
      <c r="N444" s="246" t="s">
        <v>486</v>
      </c>
      <c r="O444" s="245" t="s">
        <v>485</v>
      </c>
      <c r="P444" s="245" t="s">
        <v>485</v>
      </c>
      <c r="Q444" s="246" t="s">
        <v>486</v>
      </c>
      <c r="R444" s="246" t="s">
        <v>486</v>
      </c>
    </row>
    <row r="445" spans="1:29" ht="15.75" customHeight="1" x14ac:dyDescent="0.25">
      <c r="A445" s="31" t="s">
        <v>74</v>
      </c>
      <c r="B445" s="45" t="s">
        <v>213</v>
      </c>
      <c r="C445" s="246" t="s">
        <v>486</v>
      </c>
      <c r="D445" s="246" t="s">
        <v>486</v>
      </c>
      <c r="E445" s="246" t="s">
        <v>486</v>
      </c>
      <c r="F445" s="246" t="s">
        <v>486</v>
      </c>
      <c r="G445" s="246" t="s">
        <v>486</v>
      </c>
      <c r="H445" s="246" t="s">
        <v>486</v>
      </c>
      <c r="I445" s="246" t="s">
        <v>486</v>
      </c>
      <c r="J445" s="246" t="s">
        <v>486</v>
      </c>
      <c r="K445" s="246" t="s">
        <v>486</v>
      </c>
      <c r="L445" s="246" t="s">
        <v>486</v>
      </c>
      <c r="M445" s="246" t="s">
        <v>486</v>
      </c>
      <c r="N445" s="246" t="s">
        <v>486</v>
      </c>
      <c r="O445" s="245" t="s">
        <v>485</v>
      </c>
      <c r="P445" s="245" t="s">
        <v>485</v>
      </c>
      <c r="Q445" s="246" t="s">
        <v>486</v>
      </c>
      <c r="R445" s="246" t="s">
        <v>486</v>
      </c>
    </row>
    <row r="446" spans="1:29" ht="15.75" customHeight="1" x14ac:dyDescent="0.25">
      <c r="A446" s="31" t="s">
        <v>74</v>
      </c>
      <c r="B446" s="45" t="s">
        <v>213</v>
      </c>
      <c r="C446" s="246" t="s">
        <v>486</v>
      </c>
      <c r="D446" s="246" t="s">
        <v>486</v>
      </c>
      <c r="E446" s="246" t="s">
        <v>486</v>
      </c>
      <c r="F446" s="246" t="s">
        <v>486</v>
      </c>
      <c r="G446" s="246" t="s">
        <v>486</v>
      </c>
      <c r="H446" s="246" t="s">
        <v>486</v>
      </c>
      <c r="I446" s="246" t="s">
        <v>486</v>
      </c>
      <c r="J446" s="246" t="s">
        <v>486</v>
      </c>
      <c r="K446" s="246" t="s">
        <v>486</v>
      </c>
      <c r="L446" s="246" t="s">
        <v>486</v>
      </c>
      <c r="M446" s="246" t="s">
        <v>486</v>
      </c>
      <c r="N446" s="246" t="s">
        <v>486</v>
      </c>
      <c r="O446" s="245" t="s">
        <v>485</v>
      </c>
      <c r="P446" s="245" t="s">
        <v>485</v>
      </c>
      <c r="Q446" s="246" t="s">
        <v>486</v>
      </c>
      <c r="R446" s="246" t="s">
        <v>486</v>
      </c>
    </row>
    <row r="447" spans="1:29" ht="15.75" customHeight="1" x14ac:dyDescent="0.25">
      <c r="A447" s="31" t="s">
        <v>85</v>
      </c>
      <c r="B447" s="45" t="s">
        <v>213</v>
      </c>
      <c r="C447" s="245" t="s">
        <v>485</v>
      </c>
      <c r="D447" s="246" t="s">
        <v>486</v>
      </c>
      <c r="E447" s="245" t="s">
        <v>485</v>
      </c>
      <c r="F447" s="245" t="s">
        <v>485</v>
      </c>
      <c r="G447" s="245" t="s">
        <v>485</v>
      </c>
      <c r="H447" s="245" t="s">
        <v>485</v>
      </c>
      <c r="I447" s="245" t="s">
        <v>485</v>
      </c>
      <c r="J447" s="245" t="s">
        <v>485</v>
      </c>
      <c r="K447" s="246" t="s">
        <v>486</v>
      </c>
      <c r="L447" s="246" t="s">
        <v>486</v>
      </c>
      <c r="M447" s="246" t="s">
        <v>486</v>
      </c>
      <c r="N447" s="245" t="s">
        <v>485</v>
      </c>
      <c r="O447" s="246" t="s">
        <v>486</v>
      </c>
      <c r="P447" s="245" t="s">
        <v>485</v>
      </c>
      <c r="Q447" s="246" t="s">
        <v>486</v>
      </c>
      <c r="R447" s="245" t="s">
        <v>485</v>
      </c>
    </row>
    <row r="448" spans="1:29" ht="15.75" customHeight="1" x14ac:dyDescent="0.25">
      <c r="A448" s="247" t="s">
        <v>87</v>
      </c>
      <c r="B448" s="45" t="s">
        <v>213</v>
      </c>
      <c r="C448" s="245" t="s">
        <v>485</v>
      </c>
      <c r="D448" s="245" t="s">
        <v>485</v>
      </c>
      <c r="E448" s="245" t="s">
        <v>485</v>
      </c>
      <c r="F448" s="246" t="s">
        <v>486</v>
      </c>
      <c r="G448" s="246" t="s">
        <v>486</v>
      </c>
      <c r="H448" s="245" t="s">
        <v>485</v>
      </c>
      <c r="I448" s="245" t="s">
        <v>485</v>
      </c>
      <c r="J448" s="245" t="s">
        <v>485</v>
      </c>
      <c r="K448" s="246" t="s">
        <v>486</v>
      </c>
      <c r="L448" s="245" t="s">
        <v>485</v>
      </c>
      <c r="M448" s="246" t="s">
        <v>486</v>
      </c>
      <c r="N448" s="245" t="s">
        <v>485</v>
      </c>
      <c r="O448" s="246" t="s">
        <v>486</v>
      </c>
      <c r="P448" s="245" t="s">
        <v>485</v>
      </c>
      <c r="Q448" s="246" t="s">
        <v>486</v>
      </c>
      <c r="R448" s="246" t="s">
        <v>486</v>
      </c>
    </row>
    <row r="449" spans="1:18" ht="15.75" customHeight="1" x14ac:dyDescent="0.25">
      <c r="A449" s="247" t="s">
        <v>89</v>
      </c>
      <c r="B449" s="45" t="s">
        <v>213</v>
      </c>
      <c r="C449" s="245" t="s">
        <v>485</v>
      </c>
      <c r="D449" s="245" t="s">
        <v>485</v>
      </c>
      <c r="E449" s="245" t="s">
        <v>485</v>
      </c>
      <c r="F449" s="245" t="s">
        <v>485</v>
      </c>
      <c r="G449" s="246" t="s">
        <v>486</v>
      </c>
      <c r="H449" s="245" t="s">
        <v>485</v>
      </c>
      <c r="I449" s="245" t="s">
        <v>485</v>
      </c>
      <c r="J449" s="245" t="s">
        <v>485</v>
      </c>
      <c r="K449" s="245" t="s">
        <v>485</v>
      </c>
      <c r="L449" s="245" t="s">
        <v>485</v>
      </c>
      <c r="M449" s="246" t="s">
        <v>486</v>
      </c>
      <c r="N449" s="245" t="s">
        <v>485</v>
      </c>
      <c r="O449" s="245" t="s">
        <v>485</v>
      </c>
      <c r="P449" s="245" t="s">
        <v>485</v>
      </c>
      <c r="Q449" s="246" t="s">
        <v>486</v>
      </c>
      <c r="R449" s="245" t="s">
        <v>485</v>
      </c>
    </row>
    <row r="450" spans="1:18" ht="15.75" customHeight="1" x14ac:dyDescent="0.25">
      <c r="A450" s="247" t="s">
        <v>91</v>
      </c>
      <c r="B450" s="45" t="s">
        <v>213</v>
      </c>
      <c r="C450" s="245" t="s">
        <v>485</v>
      </c>
      <c r="D450" s="246" t="s">
        <v>486</v>
      </c>
      <c r="E450" s="246" t="s">
        <v>486</v>
      </c>
      <c r="F450" s="246" t="s">
        <v>486</v>
      </c>
      <c r="G450" s="246" t="s">
        <v>486</v>
      </c>
      <c r="H450" s="245" t="s">
        <v>485</v>
      </c>
      <c r="I450" s="246" t="s">
        <v>486</v>
      </c>
      <c r="J450" s="246" t="s">
        <v>486</v>
      </c>
      <c r="K450" s="246" t="s">
        <v>486</v>
      </c>
      <c r="L450" s="246" t="s">
        <v>486</v>
      </c>
      <c r="M450" s="245" t="s">
        <v>485</v>
      </c>
      <c r="N450" s="246" t="s">
        <v>486</v>
      </c>
      <c r="O450" s="245" t="s">
        <v>485</v>
      </c>
      <c r="P450" s="245" t="s">
        <v>485</v>
      </c>
      <c r="Q450" s="246" t="s">
        <v>486</v>
      </c>
      <c r="R450" s="245" t="s">
        <v>485</v>
      </c>
    </row>
    <row r="451" spans="1:18" ht="15.75" customHeight="1" x14ac:dyDescent="0.25">
      <c r="A451" s="247" t="s">
        <v>93</v>
      </c>
      <c r="B451" s="45" t="s">
        <v>213</v>
      </c>
      <c r="C451" s="245" t="s">
        <v>485</v>
      </c>
      <c r="D451" s="246" t="s">
        <v>486</v>
      </c>
      <c r="E451" s="246" t="s">
        <v>486</v>
      </c>
      <c r="F451" s="246" t="s">
        <v>486</v>
      </c>
      <c r="G451" s="245" t="s">
        <v>485</v>
      </c>
      <c r="H451" s="245" t="s">
        <v>485</v>
      </c>
      <c r="I451" s="246" t="s">
        <v>486</v>
      </c>
      <c r="J451" s="246" t="s">
        <v>486</v>
      </c>
      <c r="K451" s="245" t="s">
        <v>485</v>
      </c>
      <c r="L451" s="245" t="s">
        <v>485</v>
      </c>
      <c r="M451" s="245" t="s">
        <v>485</v>
      </c>
      <c r="N451" s="246" t="s">
        <v>486</v>
      </c>
      <c r="O451" s="245" t="s">
        <v>485</v>
      </c>
      <c r="P451" s="245" t="s">
        <v>485</v>
      </c>
      <c r="Q451" s="246" t="s">
        <v>486</v>
      </c>
      <c r="R451" s="245" t="s">
        <v>485</v>
      </c>
    </row>
    <row r="452" spans="1:18" ht="15.75" customHeight="1" x14ac:dyDescent="0.25">
      <c r="A452" s="247" t="s">
        <v>95</v>
      </c>
      <c r="B452" s="45" t="s">
        <v>213</v>
      </c>
      <c r="C452" s="245" t="s">
        <v>485</v>
      </c>
      <c r="D452" s="246" t="s">
        <v>486</v>
      </c>
      <c r="E452" s="245" t="s">
        <v>485</v>
      </c>
      <c r="F452" s="245" t="s">
        <v>485</v>
      </c>
      <c r="G452" s="245" t="s">
        <v>485</v>
      </c>
      <c r="H452" s="245" t="s">
        <v>485</v>
      </c>
      <c r="I452" s="245" t="s">
        <v>485</v>
      </c>
      <c r="J452" s="246" t="s">
        <v>486</v>
      </c>
      <c r="K452" s="245" t="s">
        <v>485</v>
      </c>
      <c r="L452" s="245" t="s">
        <v>485</v>
      </c>
      <c r="M452" s="246" t="s">
        <v>486</v>
      </c>
      <c r="N452" s="245" t="s">
        <v>485</v>
      </c>
      <c r="O452" s="245" t="s">
        <v>485</v>
      </c>
      <c r="P452" s="245" t="s">
        <v>485</v>
      </c>
      <c r="Q452" s="246" t="s">
        <v>486</v>
      </c>
      <c r="R452" s="245" t="s">
        <v>485</v>
      </c>
    </row>
    <row r="453" spans="1:18" ht="15.75" customHeight="1" x14ac:dyDescent="0.25">
      <c r="A453" s="247" t="s">
        <v>97</v>
      </c>
      <c r="B453" s="45" t="s">
        <v>213</v>
      </c>
      <c r="C453" s="245" t="s">
        <v>485</v>
      </c>
      <c r="D453" s="246" t="s">
        <v>486</v>
      </c>
      <c r="E453" s="246" t="s">
        <v>486</v>
      </c>
      <c r="F453" s="246" t="s">
        <v>486</v>
      </c>
      <c r="G453" s="245" t="s">
        <v>485</v>
      </c>
      <c r="H453" s="245" t="s">
        <v>485</v>
      </c>
      <c r="I453" s="245" t="s">
        <v>485</v>
      </c>
      <c r="J453" s="245" t="s">
        <v>485</v>
      </c>
      <c r="K453" s="246" t="s">
        <v>486</v>
      </c>
      <c r="L453" s="246" t="s">
        <v>486</v>
      </c>
      <c r="M453" s="246" t="s">
        <v>486</v>
      </c>
      <c r="N453" s="245" t="s">
        <v>485</v>
      </c>
      <c r="O453" s="246" t="s">
        <v>486</v>
      </c>
      <c r="P453" s="245" t="s">
        <v>485</v>
      </c>
      <c r="Q453" s="246" t="s">
        <v>486</v>
      </c>
      <c r="R453" s="245" t="s">
        <v>485</v>
      </c>
    </row>
    <row r="454" spans="1:18" ht="15.75" customHeight="1" x14ac:dyDescent="0.25">
      <c r="A454" s="247" t="s">
        <v>100</v>
      </c>
      <c r="B454" s="45" t="s">
        <v>213</v>
      </c>
      <c r="C454" s="245" t="s">
        <v>485</v>
      </c>
      <c r="D454" s="246" t="s">
        <v>486</v>
      </c>
      <c r="E454" s="245" t="s">
        <v>485</v>
      </c>
      <c r="F454" s="245" t="s">
        <v>485</v>
      </c>
      <c r="G454" s="245" t="s">
        <v>485</v>
      </c>
      <c r="H454" s="245" t="s">
        <v>485</v>
      </c>
      <c r="I454" s="245" t="s">
        <v>485</v>
      </c>
      <c r="J454" s="245" t="s">
        <v>485</v>
      </c>
      <c r="K454" s="245" t="s">
        <v>485</v>
      </c>
      <c r="L454" s="245" t="s">
        <v>485</v>
      </c>
      <c r="M454" s="246" t="s">
        <v>486</v>
      </c>
      <c r="N454" s="245" t="s">
        <v>485</v>
      </c>
      <c r="O454" s="246" t="s">
        <v>486</v>
      </c>
      <c r="P454" s="245" t="s">
        <v>485</v>
      </c>
      <c r="Q454" s="246" t="s">
        <v>486</v>
      </c>
      <c r="R454" s="245" t="s">
        <v>485</v>
      </c>
    </row>
    <row r="455" spans="1:18" ht="15.75" customHeight="1" x14ac:dyDescent="0.25">
      <c r="A455" s="247" t="s">
        <v>101</v>
      </c>
      <c r="B455" s="45" t="s">
        <v>213</v>
      </c>
      <c r="C455" s="245" t="s">
        <v>485</v>
      </c>
      <c r="D455" s="246" t="s">
        <v>486</v>
      </c>
      <c r="E455" s="245" t="s">
        <v>485</v>
      </c>
      <c r="F455" s="245" t="s">
        <v>485</v>
      </c>
      <c r="G455" s="245" t="s">
        <v>485</v>
      </c>
      <c r="H455" s="245" t="s">
        <v>485</v>
      </c>
      <c r="I455" s="246" t="s">
        <v>486</v>
      </c>
      <c r="J455" s="245" t="s">
        <v>485</v>
      </c>
      <c r="K455" s="245" t="s">
        <v>485</v>
      </c>
      <c r="L455" s="245" t="s">
        <v>485</v>
      </c>
      <c r="M455" s="246" t="s">
        <v>486</v>
      </c>
      <c r="N455" s="245" t="s">
        <v>485</v>
      </c>
      <c r="O455" s="246" t="s">
        <v>486</v>
      </c>
      <c r="P455" s="245" t="s">
        <v>485</v>
      </c>
      <c r="Q455" s="246" t="s">
        <v>486</v>
      </c>
      <c r="R455" s="245" t="s">
        <v>485</v>
      </c>
    </row>
    <row r="456" spans="1:18" ht="15.75" customHeight="1" x14ac:dyDescent="0.25">
      <c r="A456" s="247" t="s">
        <v>105</v>
      </c>
      <c r="B456" s="45" t="s">
        <v>213</v>
      </c>
      <c r="C456" s="245" t="s">
        <v>485</v>
      </c>
      <c r="D456" s="246" t="s">
        <v>486</v>
      </c>
      <c r="E456" s="245" t="s">
        <v>485</v>
      </c>
      <c r="F456" s="245" t="s">
        <v>485</v>
      </c>
      <c r="G456" s="245" t="s">
        <v>485</v>
      </c>
      <c r="H456" s="245" t="s">
        <v>485</v>
      </c>
      <c r="I456" s="245" t="s">
        <v>485</v>
      </c>
      <c r="J456" s="245" t="s">
        <v>485</v>
      </c>
      <c r="K456" s="246" t="s">
        <v>486</v>
      </c>
      <c r="L456" s="245" t="s">
        <v>485</v>
      </c>
      <c r="M456" s="246" t="s">
        <v>486</v>
      </c>
      <c r="N456" s="245" t="s">
        <v>485</v>
      </c>
      <c r="O456" s="245" t="s">
        <v>485</v>
      </c>
      <c r="P456" s="245" t="s">
        <v>485</v>
      </c>
      <c r="Q456" s="246" t="s">
        <v>486</v>
      </c>
      <c r="R456" s="245" t="s">
        <v>485</v>
      </c>
    </row>
    <row r="457" spans="1:18" ht="15.75" customHeight="1" x14ac:dyDescent="0.25">
      <c r="A457" s="247" t="s">
        <v>108</v>
      </c>
      <c r="B457" s="45" t="s">
        <v>213</v>
      </c>
      <c r="C457" s="245" t="s">
        <v>485</v>
      </c>
      <c r="D457" s="246" t="s">
        <v>486</v>
      </c>
      <c r="E457" s="245" t="s">
        <v>485</v>
      </c>
      <c r="F457" s="245" t="s">
        <v>485</v>
      </c>
      <c r="G457" s="245" t="s">
        <v>485</v>
      </c>
      <c r="H457" s="245" t="s">
        <v>485</v>
      </c>
      <c r="I457" s="245" t="s">
        <v>485</v>
      </c>
      <c r="J457" s="245" t="s">
        <v>485</v>
      </c>
      <c r="K457" s="246" t="s">
        <v>486</v>
      </c>
      <c r="L457" s="245" t="s">
        <v>485</v>
      </c>
      <c r="M457" s="246" t="s">
        <v>486</v>
      </c>
      <c r="N457" s="245" t="s">
        <v>485</v>
      </c>
      <c r="O457" s="245" t="s">
        <v>485</v>
      </c>
      <c r="P457" s="245" t="s">
        <v>485</v>
      </c>
      <c r="Q457" s="246" t="s">
        <v>486</v>
      </c>
      <c r="R457" s="245" t="s">
        <v>485</v>
      </c>
    </row>
    <row r="458" spans="1:18" ht="15.75" customHeight="1" x14ac:dyDescent="0.25">
      <c r="A458" s="247" t="s">
        <v>110</v>
      </c>
      <c r="B458" s="45" t="s">
        <v>213</v>
      </c>
      <c r="C458" s="245" t="s">
        <v>485</v>
      </c>
      <c r="D458" s="246" t="s">
        <v>486</v>
      </c>
      <c r="E458" s="245" t="s">
        <v>485</v>
      </c>
      <c r="F458" s="245" t="s">
        <v>485</v>
      </c>
      <c r="G458" s="246" t="s">
        <v>486</v>
      </c>
      <c r="H458" s="245" t="s">
        <v>485</v>
      </c>
      <c r="I458" s="245" t="s">
        <v>485</v>
      </c>
      <c r="J458" s="245" t="s">
        <v>485</v>
      </c>
      <c r="K458" s="246" t="s">
        <v>486</v>
      </c>
      <c r="L458" s="245" t="s">
        <v>485</v>
      </c>
      <c r="M458" s="246" t="s">
        <v>486</v>
      </c>
      <c r="N458" s="245" t="s">
        <v>485</v>
      </c>
      <c r="O458" s="245" t="s">
        <v>485</v>
      </c>
      <c r="P458" s="245" t="s">
        <v>485</v>
      </c>
      <c r="Q458" s="246" t="s">
        <v>486</v>
      </c>
      <c r="R458" s="245" t="s">
        <v>485</v>
      </c>
    </row>
    <row r="459" spans="1:18" ht="15.75" customHeight="1" x14ac:dyDescent="0.25">
      <c r="A459" s="247" t="s">
        <v>112</v>
      </c>
      <c r="B459" s="45" t="s">
        <v>213</v>
      </c>
      <c r="C459" s="246" t="s">
        <v>486</v>
      </c>
      <c r="D459" s="246" t="s">
        <v>486</v>
      </c>
      <c r="E459" s="245" t="s">
        <v>485</v>
      </c>
      <c r="F459" s="246" t="s">
        <v>486</v>
      </c>
      <c r="G459" s="246" t="s">
        <v>486</v>
      </c>
      <c r="H459" s="245" t="s">
        <v>485</v>
      </c>
      <c r="I459" s="245" t="s">
        <v>485</v>
      </c>
      <c r="J459" s="245" t="s">
        <v>485</v>
      </c>
      <c r="K459" s="246" t="s">
        <v>486</v>
      </c>
      <c r="L459" s="245" t="s">
        <v>485</v>
      </c>
      <c r="M459" s="246" t="s">
        <v>486</v>
      </c>
      <c r="N459" s="245" t="s">
        <v>485</v>
      </c>
      <c r="O459" s="246" t="s">
        <v>486</v>
      </c>
      <c r="P459" s="245" t="s">
        <v>485</v>
      </c>
      <c r="Q459" s="246" t="s">
        <v>486</v>
      </c>
      <c r="R459" s="246" t="s">
        <v>486</v>
      </c>
    </row>
    <row r="460" spans="1:18" ht="15.75" customHeight="1" x14ac:dyDescent="0.25">
      <c r="A460" s="247" t="s">
        <v>113</v>
      </c>
      <c r="B460" s="45" t="s">
        <v>213</v>
      </c>
      <c r="C460" s="245" t="s">
        <v>485</v>
      </c>
      <c r="D460" s="245" t="s">
        <v>485</v>
      </c>
      <c r="E460" s="245" t="s">
        <v>485</v>
      </c>
      <c r="F460" s="245" t="s">
        <v>485</v>
      </c>
      <c r="G460" s="245" t="s">
        <v>485</v>
      </c>
      <c r="H460" s="245" t="s">
        <v>485</v>
      </c>
      <c r="I460" s="245" t="s">
        <v>485</v>
      </c>
      <c r="J460" s="245" t="s">
        <v>485</v>
      </c>
      <c r="K460" s="245" t="s">
        <v>485</v>
      </c>
      <c r="L460" s="245" t="s">
        <v>485</v>
      </c>
      <c r="M460" s="246" t="s">
        <v>486</v>
      </c>
      <c r="N460" s="245" t="s">
        <v>485</v>
      </c>
      <c r="O460" s="246" t="s">
        <v>486</v>
      </c>
      <c r="P460" s="245" t="s">
        <v>485</v>
      </c>
      <c r="Q460" s="246" t="s">
        <v>486</v>
      </c>
      <c r="R460" s="245" t="s">
        <v>485</v>
      </c>
    </row>
    <row r="461" spans="1:18" ht="15.75" customHeight="1" x14ac:dyDescent="0.25">
      <c r="A461" s="247" t="str">
        <f>Características!V38</f>
        <v>INTERPRETAR (_________)</v>
      </c>
      <c r="B461" s="45" t="s">
        <v>213</v>
      </c>
      <c r="C461" s="245" t="s">
        <v>485</v>
      </c>
      <c r="D461" s="246" t="s">
        <v>486</v>
      </c>
      <c r="E461" s="245" t="s">
        <v>485</v>
      </c>
      <c r="F461" s="245" t="s">
        <v>485</v>
      </c>
      <c r="G461" s="245" t="s">
        <v>485</v>
      </c>
      <c r="H461" s="245" t="s">
        <v>485</v>
      </c>
      <c r="I461" s="245" t="s">
        <v>485</v>
      </c>
      <c r="J461" s="245" t="s">
        <v>485</v>
      </c>
      <c r="K461" s="246" t="s">
        <v>486</v>
      </c>
      <c r="L461" s="245" t="s">
        <v>485</v>
      </c>
      <c r="M461" s="246" t="s">
        <v>486</v>
      </c>
      <c r="N461" s="245" t="s">
        <v>485</v>
      </c>
      <c r="O461" s="246" t="s">
        <v>486</v>
      </c>
      <c r="P461" s="245" t="s">
        <v>485</v>
      </c>
      <c r="Q461" s="246" t="s">
        <v>486</v>
      </c>
      <c r="R461" s="245" t="s">
        <v>485</v>
      </c>
    </row>
    <row r="462" spans="1:18" ht="15.75" customHeight="1" x14ac:dyDescent="0.25">
      <c r="A462" s="247" t="str">
        <f>Características!V39</f>
        <v>INTERPRETAR (_________)</v>
      </c>
      <c r="B462" s="45" t="s">
        <v>213</v>
      </c>
      <c r="C462" s="245" t="s">
        <v>485</v>
      </c>
      <c r="D462" s="246" t="s">
        <v>486</v>
      </c>
      <c r="E462" s="245" t="s">
        <v>485</v>
      </c>
      <c r="F462" s="245" t="s">
        <v>485</v>
      </c>
      <c r="G462" s="245" t="s">
        <v>485</v>
      </c>
      <c r="H462" s="245" t="s">
        <v>485</v>
      </c>
      <c r="I462" s="245" t="s">
        <v>485</v>
      </c>
      <c r="J462" s="245" t="s">
        <v>485</v>
      </c>
      <c r="K462" s="246" t="s">
        <v>486</v>
      </c>
      <c r="L462" s="245" t="s">
        <v>485</v>
      </c>
      <c r="M462" s="246" t="s">
        <v>486</v>
      </c>
      <c r="N462" s="245" t="s">
        <v>485</v>
      </c>
      <c r="O462" s="246" t="s">
        <v>486</v>
      </c>
      <c r="P462" s="245" t="s">
        <v>485</v>
      </c>
      <c r="Q462" s="246" t="s">
        <v>486</v>
      </c>
      <c r="R462" s="245" t="s">
        <v>485</v>
      </c>
    </row>
    <row r="463" spans="1:18" ht="15.75" customHeight="1" x14ac:dyDescent="0.25">
      <c r="A463" s="247" t="str">
        <f>Características!V40</f>
        <v>INTERPRETAR (_________)</v>
      </c>
      <c r="B463" s="45" t="s">
        <v>213</v>
      </c>
      <c r="C463" s="245" t="s">
        <v>485</v>
      </c>
      <c r="D463" s="246" t="s">
        <v>486</v>
      </c>
      <c r="E463" s="245" t="s">
        <v>485</v>
      </c>
      <c r="F463" s="245" t="s">
        <v>485</v>
      </c>
      <c r="G463" s="245" t="s">
        <v>485</v>
      </c>
      <c r="H463" s="245" t="s">
        <v>485</v>
      </c>
      <c r="I463" s="245" t="s">
        <v>485</v>
      </c>
      <c r="J463" s="245" t="s">
        <v>485</v>
      </c>
      <c r="K463" s="246" t="s">
        <v>486</v>
      </c>
      <c r="L463" s="245" t="s">
        <v>485</v>
      </c>
      <c r="M463" s="246" t="s">
        <v>486</v>
      </c>
      <c r="N463" s="245" t="s">
        <v>485</v>
      </c>
      <c r="O463" s="246" t="s">
        <v>486</v>
      </c>
      <c r="P463" s="245" t="s">
        <v>485</v>
      </c>
      <c r="Q463" s="246" t="s">
        <v>486</v>
      </c>
      <c r="R463" s="245" t="s">
        <v>485</v>
      </c>
    </row>
    <row r="464" spans="1:18" ht="15.75" customHeight="1" x14ac:dyDescent="0.25">
      <c r="A464" s="247" t="s">
        <v>116</v>
      </c>
      <c r="B464" s="45" t="s">
        <v>213</v>
      </c>
      <c r="C464" s="246" t="s">
        <v>486</v>
      </c>
      <c r="D464" s="245" t="s">
        <v>485</v>
      </c>
      <c r="E464" s="245" t="s">
        <v>485</v>
      </c>
      <c r="F464" s="245" t="s">
        <v>485</v>
      </c>
      <c r="G464" s="245" t="s">
        <v>485</v>
      </c>
      <c r="H464" s="246" t="s">
        <v>486</v>
      </c>
      <c r="I464" s="245" t="s">
        <v>485</v>
      </c>
      <c r="J464" s="245" t="s">
        <v>485</v>
      </c>
      <c r="K464" s="245" t="s">
        <v>485</v>
      </c>
      <c r="L464" s="245" t="s">
        <v>485</v>
      </c>
      <c r="M464" s="246" t="s">
        <v>486</v>
      </c>
      <c r="N464" s="245" t="s">
        <v>485</v>
      </c>
      <c r="O464" s="245" t="s">
        <v>485</v>
      </c>
      <c r="P464" s="246" t="s">
        <v>486</v>
      </c>
      <c r="Q464" s="246" t="s">
        <v>486</v>
      </c>
      <c r="R464" s="245" t="s">
        <v>485</v>
      </c>
    </row>
    <row r="465" spans="1:18" ht="15.75" customHeight="1" x14ac:dyDescent="0.25">
      <c r="A465" s="247" t="s">
        <v>121</v>
      </c>
      <c r="B465" s="45" t="s">
        <v>213</v>
      </c>
      <c r="C465" s="245" t="s">
        <v>485</v>
      </c>
      <c r="D465" s="245" t="s">
        <v>485</v>
      </c>
      <c r="E465" s="245" t="s">
        <v>485</v>
      </c>
      <c r="F465" s="245" t="s">
        <v>485</v>
      </c>
      <c r="G465" s="245" t="s">
        <v>485</v>
      </c>
      <c r="H465" s="245" t="s">
        <v>485</v>
      </c>
      <c r="I465" s="245" t="s">
        <v>485</v>
      </c>
      <c r="J465" s="245" t="s">
        <v>485</v>
      </c>
      <c r="K465" s="245" t="s">
        <v>485</v>
      </c>
      <c r="L465" s="245" t="s">
        <v>485</v>
      </c>
      <c r="M465" s="246" t="s">
        <v>486</v>
      </c>
      <c r="N465" s="245" t="s">
        <v>485</v>
      </c>
      <c r="O465" s="245" t="s">
        <v>485</v>
      </c>
      <c r="P465" s="245" t="s">
        <v>485</v>
      </c>
      <c r="Q465" s="246" t="s">
        <v>486</v>
      </c>
      <c r="R465" s="245" t="s">
        <v>485</v>
      </c>
    </row>
    <row r="466" spans="1:18" ht="15.75" customHeight="1" x14ac:dyDescent="0.25">
      <c r="A466" s="247" t="s">
        <v>122</v>
      </c>
      <c r="B466" s="45" t="s">
        <v>213</v>
      </c>
      <c r="C466" s="245" t="s">
        <v>485</v>
      </c>
      <c r="D466" s="246" t="s">
        <v>486</v>
      </c>
      <c r="E466" s="245" t="s">
        <v>485</v>
      </c>
      <c r="F466" s="245" t="s">
        <v>485</v>
      </c>
      <c r="G466" s="245" t="s">
        <v>485</v>
      </c>
      <c r="H466" s="245" t="s">
        <v>485</v>
      </c>
      <c r="I466" s="245" t="s">
        <v>485</v>
      </c>
      <c r="J466" s="245" t="s">
        <v>485</v>
      </c>
      <c r="K466" s="245" t="s">
        <v>485</v>
      </c>
      <c r="L466" s="245" t="s">
        <v>485</v>
      </c>
      <c r="M466" s="246" t="s">
        <v>486</v>
      </c>
      <c r="N466" s="245" t="s">
        <v>485</v>
      </c>
      <c r="O466" s="245" t="s">
        <v>485</v>
      </c>
      <c r="P466" s="245" t="s">
        <v>485</v>
      </c>
      <c r="Q466" s="246" t="s">
        <v>486</v>
      </c>
      <c r="R466" s="245" t="s">
        <v>485</v>
      </c>
    </row>
    <row r="467" spans="1:18" ht="15.75" customHeight="1" x14ac:dyDescent="0.25">
      <c r="A467" s="247" t="str">
        <f>Características!V44</f>
        <v>MONTAR (_____________)</v>
      </c>
      <c r="B467" s="45" t="s">
        <v>213</v>
      </c>
      <c r="C467" s="246" t="s">
        <v>486</v>
      </c>
      <c r="D467" s="245" t="s">
        <v>485</v>
      </c>
      <c r="E467" s="245" t="s">
        <v>485</v>
      </c>
      <c r="F467" s="246" t="s">
        <v>486</v>
      </c>
      <c r="G467" s="246" t="s">
        <v>486</v>
      </c>
      <c r="H467" s="246" t="s">
        <v>486</v>
      </c>
      <c r="I467" s="245" t="s">
        <v>485</v>
      </c>
      <c r="J467" s="245" t="s">
        <v>485</v>
      </c>
      <c r="K467" s="245" t="s">
        <v>485</v>
      </c>
      <c r="L467" s="246" t="s">
        <v>486</v>
      </c>
      <c r="M467" s="245" t="s">
        <v>485</v>
      </c>
      <c r="N467" s="245" t="s">
        <v>485</v>
      </c>
      <c r="O467" s="246" t="s">
        <v>486</v>
      </c>
      <c r="P467" s="246" t="s">
        <v>486</v>
      </c>
      <c r="Q467" s="246" t="s">
        <v>486</v>
      </c>
      <c r="R467" s="246" t="s">
        <v>486</v>
      </c>
    </row>
    <row r="468" spans="1:18" ht="15.75" customHeight="1" x14ac:dyDescent="0.25">
      <c r="A468" s="247" t="s">
        <v>126</v>
      </c>
      <c r="B468" s="45" t="s">
        <v>213</v>
      </c>
      <c r="C468" s="245" t="s">
        <v>485</v>
      </c>
      <c r="D468" s="246" t="s">
        <v>486</v>
      </c>
      <c r="E468" s="245" t="s">
        <v>485</v>
      </c>
      <c r="F468" s="245" t="s">
        <v>485</v>
      </c>
      <c r="G468" s="246" t="s">
        <v>486</v>
      </c>
      <c r="H468" s="245" t="s">
        <v>485</v>
      </c>
      <c r="I468" s="245" t="s">
        <v>485</v>
      </c>
      <c r="J468" s="245" t="s">
        <v>485</v>
      </c>
      <c r="K468" s="246" t="s">
        <v>486</v>
      </c>
      <c r="L468" s="245" t="s">
        <v>485</v>
      </c>
      <c r="M468" s="246" t="s">
        <v>486</v>
      </c>
      <c r="N468" s="245" t="s">
        <v>485</v>
      </c>
      <c r="O468" s="245" t="s">
        <v>485</v>
      </c>
      <c r="P468" s="245" t="s">
        <v>485</v>
      </c>
      <c r="Q468" s="246" t="s">
        <v>486</v>
      </c>
      <c r="R468" s="245" t="s">
        <v>485</v>
      </c>
    </row>
    <row r="469" spans="1:18" ht="15.75" customHeight="1" x14ac:dyDescent="0.25">
      <c r="A469" s="247" t="s">
        <v>127</v>
      </c>
      <c r="B469" s="45" t="s">
        <v>213</v>
      </c>
      <c r="C469" s="246" t="s">
        <v>486</v>
      </c>
      <c r="D469" s="246" t="s">
        <v>486</v>
      </c>
      <c r="E469" s="245" t="s">
        <v>485</v>
      </c>
      <c r="F469" s="246" t="s">
        <v>486</v>
      </c>
      <c r="G469" s="246" t="s">
        <v>486</v>
      </c>
      <c r="H469" s="246" t="s">
        <v>486</v>
      </c>
      <c r="I469" s="245" t="s">
        <v>485</v>
      </c>
      <c r="J469" s="245" t="s">
        <v>485</v>
      </c>
      <c r="K469" s="246" t="s">
        <v>486</v>
      </c>
      <c r="L469" s="245" t="s">
        <v>485</v>
      </c>
      <c r="M469" s="246" t="s">
        <v>486</v>
      </c>
      <c r="N469" s="245" t="s">
        <v>485</v>
      </c>
      <c r="O469" s="246" t="s">
        <v>486</v>
      </c>
      <c r="P469" s="246" t="s">
        <v>486</v>
      </c>
      <c r="Q469" s="246" t="s">
        <v>486</v>
      </c>
      <c r="R469" s="246" t="s">
        <v>486</v>
      </c>
    </row>
    <row r="470" spans="1:18" ht="15.75" customHeight="1" x14ac:dyDescent="0.25">
      <c r="A470" s="247" t="s">
        <v>129</v>
      </c>
      <c r="B470" s="45" t="s">
        <v>213</v>
      </c>
      <c r="C470" s="245" t="s">
        <v>485</v>
      </c>
      <c r="D470" s="246" t="s">
        <v>486</v>
      </c>
      <c r="E470" s="245" t="s">
        <v>485</v>
      </c>
      <c r="F470" s="245" t="s">
        <v>485</v>
      </c>
      <c r="G470" s="245" t="s">
        <v>485</v>
      </c>
      <c r="H470" s="245" t="s">
        <v>485</v>
      </c>
      <c r="I470" s="245" t="s">
        <v>485</v>
      </c>
      <c r="J470" s="245" t="s">
        <v>485</v>
      </c>
      <c r="K470" s="246" t="s">
        <v>486</v>
      </c>
      <c r="L470" s="245" t="s">
        <v>485</v>
      </c>
      <c r="M470" s="246" t="s">
        <v>486</v>
      </c>
      <c r="N470" s="245" t="s">
        <v>485</v>
      </c>
      <c r="O470" s="245" t="s">
        <v>485</v>
      </c>
      <c r="P470" s="245" t="s">
        <v>485</v>
      </c>
      <c r="Q470" s="246" t="s">
        <v>486</v>
      </c>
      <c r="R470" s="245" t="s">
        <v>485</v>
      </c>
    </row>
    <row r="471" spans="1:18" ht="15.75" customHeight="1" x14ac:dyDescent="0.25">
      <c r="A471" s="247" t="s">
        <v>131</v>
      </c>
      <c r="B471" s="45" t="s">
        <v>213</v>
      </c>
      <c r="C471" s="245" t="s">
        <v>485</v>
      </c>
      <c r="D471" s="246" t="s">
        <v>486</v>
      </c>
      <c r="E471" s="245" t="s">
        <v>485</v>
      </c>
      <c r="F471" s="245" t="s">
        <v>485</v>
      </c>
      <c r="G471" s="245" t="s">
        <v>485</v>
      </c>
      <c r="H471" s="245" t="s">
        <v>485</v>
      </c>
      <c r="I471" s="245" t="s">
        <v>485</v>
      </c>
      <c r="J471" s="245" t="s">
        <v>485</v>
      </c>
      <c r="K471" s="245" t="s">
        <v>485</v>
      </c>
      <c r="L471" s="245" t="s">
        <v>485</v>
      </c>
      <c r="M471" s="246" t="s">
        <v>486</v>
      </c>
      <c r="N471" s="245" t="s">
        <v>485</v>
      </c>
      <c r="O471" s="246" t="s">
        <v>486</v>
      </c>
      <c r="P471" s="245" t="s">
        <v>485</v>
      </c>
      <c r="Q471" s="246" t="s">
        <v>486</v>
      </c>
      <c r="R471" s="245" t="s">
        <v>485</v>
      </c>
    </row>
    <row r="472" spans="1:18" ht="15.75" customHeight="1" x14ac:dyDescent="0.25">
      <c r="A472" s="247" t="s">
        <v>132</v>
      </c>
      <c r="B472" s="45" t="s">
        <v>213</v>
      </c>
      <c r="C472" s="245" t="s">
        <v>485</v>
      </c>
      <c r="D472" s="246" t="s">
        <v>486</v>
      </c>
      <c r="E472" s="246" t="s">
        <v>486</v>
      </c>
      <c r="F472" s="245" t="s">
        <v>485</v>
      </c>
      <c r="G472" s="245" t="s">
        <v>485</v>
      </c>
      <c r="H472" s="245" t="s">
        <v>485</v>
      </c>
      <c r="I472" s="246" t="s">
        <v>486</v>
      </c>
      <c r="J472" s="246" t="s">
        <v>486</v>
      </c>
      <c r="K472" s="246" t="s">
        <v>486</v>
      </c>
      <c r="L472" s="245" t="s">
        <v>485</v>
      </c>
      <c r="M472" s="245" t="s">
        <v>485</v>
      </c>
      <c r="N472" s="246" t="s">
        <v>486</v>
      </c>
      <c r="O472" s="246" t="s">
        <v>486</v>
      </c>
      <c r="P472" s="245" t="s">
        <v>485</v>
      </c>
      <c r="Q472" s="246" t="s">
        <v>486</v>
      </c>
      <c r="R472" s="245" t="s">
        <v>485</v>
      </c>
    </row>
    <row r="473" spans="1:18" ht="15.75" customHeight="1" x14ac:dyDescent="0.25">
      <c r="A473" s="247" t="s">
        <v>133</v>
      </c>
      <c r="B473" s="45" t="s">
        <v>213</v>
      </c>
      <c r="C473" s="245" t="s">
        <v>485</v>
      </c>
      <c r="D473" s="246" t="s">
        <v>486</v>
      </c>
      <c r="E473" s="245" t="s">
        <v>485</v>
      </c>
      <c r="F473" s="245" t="s">
        <v>485</v>
      </c>
      <c r="G473" s="245" t="s">
        <v>485</v>
      </c>
      <c r="H473" s="245" t="s">
        <v>485</v>
      </c>
      <c r="I473" s="245" t="s">
        <v>485</v>
      </c>
      <c r="J473" s="246" t="s">
        <v>486</v>
      </c>
      <c r="K473" s="245" t="s">
        <v>485</v>
      </c>
      <c r="L473" s="245" t="s">
        <v>485</v>
      </c>
      <c r="M473" s="245" t="s">
        <v>485</v>
      </c>
      <c r="N473" s="246" t="s">
        <v>486</v>
      </c>
      <c r="O473" s="246" t="s">
        <v>486</v>
      </c>
      <c r="P473" s="245" t="s">
        <v>485</v>
      </c>
      <c r="Q473" s="246" t="s">
        <v>486</v>
      </c>
      <c r="R473" s="245" t="s">
        <v>485</v>
      </c>
    </row>
    <row r="474" spans="1:18" ht="15.75" customHeight="1" x14ac:dyDescent="0.25">
      <c r="A474" s="247" t="s">
        <v>134</v>
      </c>
      <c r="B474" s="45" t="s">
        <v>213</v>
      </c>
      <c r="C474" s="245" t="s">
        <v>485</v>
      </c>
      <c r="D474" s="246" t="s">
        <v>486</v>
      </c>
      <c r="E474" s="245" t="s">
        <v>485</v>
      </c>
      <c r="F474" s="245" t="s">
        <v>485</v>
      </c>
      <c r="G474" s="246" t="s">
        <v>486</v>
      </c>
      <c r="H474" s="245" t="s">
        <v>485</v>
      </c>
      <c r="I474" s="245" t="s">
        <v>485</v>
      </c>
      <c r="J474" s="246" t="s">
        <v>486</v>
      </c>
      <c r="K474" s="245" t="s">
        <v>485</v>
      </c>
      <c r="L474" s="245" t="s">
        <v>485</v>
      </c>
      <c r="M474" s="245" t="s">
        <v>485</v>
      </c>
      <c r="N474" s="246" t="s">
        <v>486</v>
      </c>
      <c r="O474" s="246" t="s">
        <v>486</v>
      </c>
      <c r="P474" s="245" t="s">
        <v>485</v>
      </c>
      <c r="Q474" s="246" t="s">
        <v>486</v>
      </c>
      <c r="R474" s="245" t="s">
        <v>485</v>
      </c>
    </row>
    <row r="475" spans="1:18" ht="15.75" customHeight="1" x14ac:dyDescent="0.25">
      <c r="A475" s="247" t="s">
        <v>135</v>
      </c>
      <c r="B475" s="45" t="s">
        <v>213</v>
      </c>
      <c r="C475" s="245" t="s">
        <v>485</v>
      </c>
      <c r="D475" s="246" t="s">
        <v>486</v>
      </c>
      <c r="E475" s="245" t="s">
        <v>485</v>
      </c>
      <c r="F475" s="245" t="s">
        <v>485</v>
      </c>
      <c r="G475" s="246" t="s">
        <v>486</v>
      </c>
      <c r="H475" s="245" t="s">
        <v>485</v>
      </c>
      <c r="I475" s="245" t="s">
        <v>485</v>
      </c>
      <c r="J475" s="246" t="s">
        <v>486</v>
      </c>
      <c r="K475" s="245" t="s">
        <v>485</v>
      </c>
      <c r="L475" s="245" t="s">
        <v>485</v>
      </c>
      <c r="M475" s="245" t="s">
        <v>485</v>
      </c>
      <c r="N475" s="246" t="s">
        <v>486</v>
      </c>
      <c r="O475" s="246" t="s">
        <v>486</v>
      </c>
      <c r="P475" s="245" t="s">
        <v>485</v>
      </c>
      <c r="Q475" s="246" t="s">
        <v>486</v>
      </c>
      <c r="R475" s="245" t="s">
        <v>485</v>
      </c>
    </row>
    <row r="476" spans="1:18" ht="15.75" customHeight="1" x14ac:dyDescent="0.25">
      <c r="A476" s="247" t="s">
        <v>136</v>
      </c>
      <c r="B476" s="45" t="s">
        <v>213</v>
      </c>
      <c r="C476" s="245" t="s">
        <v>485</v>
      </c>
      <c r="D476" s="246" t="s">
        <v>486</v>
      </c>
      <c r="E476" s="246" t="s">
        <v>486</v>
      </c>
      <c r="F476" s="245" t="s">
        <v>485</v>
      </c>
      <c r="G476" s="245" t="s">
        <v>485</v>
      </c>
      <c r="H476" s="245" t="s">
        <v>485</v>
      </c>
      <c r="I476" s="245" t="s">
        <v>485</v>
      </c>
      <c r="J476" s="246" t="s">
        <v>486</v>
      </c>
      <c r="K476" s="245" t="s">
        <v>485</v>
      </c>
      <c r="L476" s="245" t="s">
        <v>485</v>
      </c>
      <c r="M476" s="245" t="s">
        <v>485</v>
      </c>
      <c r="N476" s="246" t="s">
        <v>486</v>
      </c>
      <c r="O476" s="246" t="s">
        <v>486</v>
      </c>
      <c r="P476" s="245" t="s">
        <v>485</v>
      </c>
      <c r="Q476" s="246" t="s">
        <v>486</v>
      </c>
      <c r="R476" s="245" t="s">
        <v>485</v>
      </c>
    </row>
    <row r="477" spans="1:18" ht="15.75" customHeight="1" x14ac:dyDescent="0.25">
      <c r="A477" s="247" t="s">
        <v>137</v>
      </c>
      <c r="B477" s="45" t="s">
        <v>213</v>
      </c>
      <c r="C477" s="245" t="s">
        <v>485</v>
      </c>
      <c r="D477" s="246" t="s">
        <v>486</v>
      </c>
      <c r="E477" s="245" t="s">
        <v>485</v>
      </c>
      <c r="F477" s="245" t="s">
        <v>485</v>
      </c>
      <c r="G477" s="245" t="s">
        <v>485</v>
      </c>
      <c r="H477" s="245" t="s">
        <v>485</v>
      </c>
      <c r="I477" s="245" t="s">
        <v>485</v>
      </c>
      <c r="J477" s="246" t="s">
        <v>486</v>
      </c>
      <c r="K477" s="245" t="s">
        <v>485</v>
      </c>
      <c r="L477" s="245" t="s">
        <v>485</v>
      </c>
      <c r="M477" s="246" t="s">
        <v>486</v>
      </c>
      <c r="N477" s="246" t="s">
        <v>486</v>
      </c>
      <c r="O477" s="246" t="s">
        <v>486</v>
      </c>
      <c r="P477" s="245" t="s">
        <v>485</v>
      </c>
      <c r="Q477" s="246" t="s">
        <v>486</v>
      </c>
      <c r="R477" s="245" t="s">
        <v>485</v>
      </c>
    </row>
    <row r="478" spans="1:18" ht="15.75" customHeight="1" x14ac:dyDescent="0.25">
      <c r="A478" s="247" t="s">
        <v>138</v>
      </c>
      <c r="B478" s="45" t="s">
        <v>213</v>
      </c>
      <c r="C478" s="245" t="s">
        <v>485</v>
      </c>
      <c r="D478" s="246" t="s">
        <v>486</v>
      </c>
      <c r="E478" s="246" t="s">
        <v>486</v>
      </c>
      <c r="F478" s="245" t="s">
        <v>485</v>
      </c>
      <c r="G478" s="245" t="s">
        <v>485</v>
      </c>
      <c r="H478" s="245" t="s">
        <v>485</v>
      </c>
      <c r="I478" s="245" t="s">
        <v>485</v>
      </c>
      <c r="J478" s="246" t="s">
        <v>486</v>
      </c>
      <c r="K478" s="245" t="s">
        <v>485</v>
      </c>
      <c r="L478" s="245" t="s">
        <v>485</v>
      </c>
      <c r="M478" s="245" t="s">
        <v>485</v>
      </c>
      <c r="N478" s="246" t="s">
        <v>486</v>
      </c>
      <c r="O478" s="246" t="s">
        <v>486</v>
      </c>
      <c r="P478" s="245" t="s">
        <v>485</v>
      </c>
      <c r="Q478" s="246" t="s">
        <v>486</v>
      </c>
      <c r="R478" s="245" t="s">
        <v>485</v>
      </c>
    </row>
    <row r="479" spans="1:18" ht="15.75" customHeight="1" x14ac:dyDescent="0.25">
      <c r="A479" s="247" t="s">
        <v>139</v>
      </c>
      <c r="B479" s="45" t="s">
        <v>213</v>
      </c>
      <c r="C479" s="245" t="s">
        <v>485</v>
      </c>
      <c r="D479" s="246" t="s">
        <v>486</v>
      </c>
      <c r="E479" s="245" t="s">
        <v>485</v>
      </c>
      <c r="F479" s="246" t="s">
        <v>486</v>
      </c>
      <c r="G479" s="246" t="s">
        <v>486</v>
      </c>
      <c r="H479" s="245" t="s">
        <v>485</v>
      </c>
      <c r="I479" s="245" t="s">
        <v>485</v>
      </c>
      <c r="J479" s="246" t="s">
        <v>486</v>
      </c>
      <c r="K479" s="245" t="s">
        <v>485</v>
      </c>
      <c r="L479" s="245" t="s">
        <v>485</v>
      </c>
      <c r="M479" s="245" t="s">
        <v>485</v>
      </c>
      <c r="N479" s="246" t="s">
        <v>486</v>
      </c>
      <c r="O479" s="246" t="s">
        <v>486</v>
      </c>
      <c r="P479" s="245" t="s">
        <v>485</v>
      </c>
      <c r="Q479" s="246" t="s">
        <v>486</v>
      </c>
      <c r="R479" s="245" t="s">
        <v>485</v>
      </c>
    </row>
    <row r="480" spans="1:18" ht="15.75" customHeight="1" x14ac:dyDescent="0.25">
      <c r="A480" s="247" t="s">
        <v>140</v>
      </c>
      <c r="B480" s="45" t="s">
        <v>213</v>
      </c>
      <c r="C480" s="245" t="s">
        <v>485</v>
      </c>
      <c r="D480" s="246" t="s">
        <v>486</v>
      </c>
      <c r="E480" s="245" t="s">
        <v>485</v>
      </c>
      <c r="F480" s="245" t="s">
        <v>485</v>
      </c>
      <c r="G480" s="245" t="s">
        <v>485</v>
      </c>
      <c r="H480" s="245" t="s">
        <v>485</v>
      </c>
      <c r="I480" s="245" t="s">
        <v>485</v>
      </c>
      <c r="J480" s="246" t="s">
        <v>486</v>
      </c>
      <c r="K480" s="245" t="s">
        <v>485</v>
      </c>
      <c r="L480" s="246" t="s">
        <v>486</v>
      </c>
      <c r="M480" s="245" t="s">
        <v>485</v>
      </c>
      <c r="N480" s="246" t="s">
        <v>486</v>
      </c>
      <c r="O480" s="246" t="s">
        <v>486</v>
      </c>
      <c r="P480" s="245" t="s">
        <v>485</v>
      </c>
      <c r="Q480" s="246" t="s">
        <v>486</v>
      </c>
      <c r="R480" s="245" t="s">
        <v>485</v>
      </c>
    </row>
    <row r="481" spans="1:18" ht="15.75" customHeight="1" x14ac:dyDescent="0.25">
      <c r="A481" s="247" t="s">
        <v>141</v>
      </c>
      <c r="B481" s="45" t="s">
        <v>213</v>
      </c>
      <c r="C481" s="245" t="s">
        <v>485</v>
      </c>
      <c r="D481" s="246" t="s">
        <v>486</v>
      </c>
      <c r="E481" s="246" t="s">
        <v>486</v>
      </c>
      <c r="F481" s="245" t="s">
        <v>485</v>
      </c>
      <c r="G481" s="245" t="s">
        <v>485</v>
      </c>
      <c r="H481" s="245" t="s">
        <v>485</v>
      </c>
      <c r="I481" s="245" t="s">
        <v>485</v>
      </c>
      <c r="J481" s="246" t="s">
        <v>486</v>
      </c>
      <c r="K481" s="246" t="s">
        <v>486</v>
      </c>
      <c r="L481" s="246" t="s">
        <v>486</v>
      </c>
      <c r="M481" s="245" t="s">
        <v>485</v>
      </c>
      <c r="N481" s="246" t="s">
        <v>486</v>
      </c>
      <c r="O481" s="246" t="s">
        <v>486</v>
      </c>
      <c r="P481" s="245" t="s">
        <v>485</v>
      </c>
      <c r="Q481" s="246" t="s">
        <v>486</v>
      </c>
      <c r="R481" s="245" t="s">
        <v>485</v>
      </c>
    </row>
    <row r="482" spans="1:18" ht="15.75" customHeight="1" x14ac:dyDescent="0.25">
      <c r="A482" s="247" t="s">
        <v>142</v>
      </c>
      <c r="B482" s="45" t="s">
        <v>213</v>
      </c>
      <c r="C482" s="246" t="s">
        <v>486</v>
      </c>
      <c r="D482" s="246" t="s">
        <v>486</v>
      </c>
      <c r="E482" s="245" t="s">
        <v>485</v>
      </c>
      <c r="F482" s="245" t="s">
        <v>485</v>
      </c>
      <c r="G482" s="246" t="s">
        <v>486</v>
      </c>
      <c r="H482" s="246" t="s">
        <v>486</v>
      </c>
      <c r="I482" s="245" t="s">
        <v>485</v>
      </c>
      <c r="J482" s="245" t="s">
        <v>485</v>
      </c>
      <c r="K482" s="246" t="s">
        <v>486</v>
      </c>
      <c r="L482" s="245" t="s">
        <v>485</v>
      </c>
      <c r="M482" s="246" t="s">
        <v>486</v>
      </c>
      <c r="N482" s="245" t="s">
        <v>485</v>
      </c>
      <c r="O482" s="245" t="s">
        <v>485</v>
      </c>
      <c r="P482" s="246" t="s">
        <v>486</v>
      </c>
      <c r="Q482" s="246" t="s">
        <v>486</v>
      </c>
      <c r="R482" s="246" t="s">
        <v>486</v>
      </c>
    </row>
    <row r="483" spans="1:18" ht="15.75" customHeight="1" x14ac:dyDescent="0.25">
      <c r="A483" s="248" t="s">
        <v>143</v>
      </c>
      <c r="B483" s="45" t="s">
        <v>213</v>
      </c>
      <c r="C483" s="246" t="s">
        <v>486</v>
      </c>
      <c r="D483" s="246" t="s">
        <v>486</v>
      </c>
      <c r="E483" s="245" t="s">
        <v>485</v>
      </c>
      <c r="F483" s="245" t="s">
        <v>485</v>
      </c>
      <c r="G483" s="246" t="s">
        <v>486</v>
      </c>
      <c r="H483" s="246" t="s">
        <v>486</v>
      </c>
      <c r="I483" s="245" t="s">
        <v>485</v>
      </c>
      <c r="J483" s="245" t="s">
        <v>485</v>
      </c>
      <c r="K483" s="246" t="s">
        <v>486</v>
      </c>
      <c r="L483" s="245" t="s">
        <v>485</v>
      </c>
      <c r="M483" s="246" t="s">
        <v>486</v>
      </c>
      <c r="N483" s="245" t="s">
        <v>485</v>
      </c>
      <c r="O483" s="245" t="s">
        <v>485</v>
      </c>
      <c r="P483" s="246" t="s">
        <v>486</v>
      </c>
      <c r="Q483" s="246" t="s">
        <v>486</v>
      </c>
      <c r="R483" s="246" t="s">
        <v>486</v>
      </c>
    </row>
    <row r="484" spans="1:18" ht="15.75" customHeight="1" x14ac:dyDescent="0.25">
      <c r="A484" s="247" t="s">
        <v>145</v>
      </c>
      <c r="B484" s="45" t="s">
        <v>213</v>
      </c>
      <c r="C484" s="245" t="s">
        <v>485</v>
      </c>
      <c r="D484" s="245" t="s">
        <v>485</v>
      </c>
      <c r="E484" s="246" t="s">
        <v>486</v>
      </c>
      <c r="F484" s="246" t="s">
        <v>486</v>
      </c>
      <c r="G484" s="246" t="s">
        <v>486</v>
      </c>
      <c r="H484" s="245" t="s">
        <v>485</v>
      </c>
      <c r="I484" s="245" t="s">
        <v>485</v>
      </c>
      <c r="J484" s="245" t="s">
        <v>485</v>
      </c>
      <c r="K484" s="245" t="s">
        <v>485</v>
      </c>
      <c r="L484" s="246" t="s">
        <v>486</v>
      </c>
      <c r="M484" s="245" t="s">
        <v>485</v>
      </c>
      <c r="N484" s="246" t="s">
        <v>486</v>
      </c>
      <c r="O484" s="245" t="s">
        <v>485</v>
      </c>
      <c r="P484" s="245" t="s">
        <v>485</v>
      </c>
      <c r="Q484" s="246" t="s">
        <v>486</v>
      </c>
      <c r="R484" s="245" t="s">
        <v>485</v>
      </c>
    </row>
    <row r="485" spans="1:18" ht="15.75" customHeight="1" x14ac:dyDescent="0.25">
      <c r="A485" s="247" t="s">
        <v>146</v>
      </c>
      <c r="B485" s="45" t="s">
        <v>213</v>
      </c>
      <c r="C485" s="246" t="s">
        <v>486</v>
      </c>
      <c r="D485" s="245" t="s">
        <v>485</v>
      </c>
      <c r="E485" s="245" t="s">
        <v>485</v>
      </c>
      <c r="F485" s="246" t="s">
        <v>486</v>
      </c>
      <c r="G485" s="246" t="s">
        <v>486</v>
      </c>
      <c r="H485" s="245" t="s">
        <v>485</v>
      </c>
      <c r="I485" s="245" t="s">
        <v>485</v>
      </c>
      <c r="J485" s="245" t="s">
        <v>485</v>
      </c>
      <c r="K485" s="245" t="s">
        <v>485</v>
      </c>
      <c r="L485" s="245" t="s">
        <v>485</v>
      </c>
      <c r="M485" s="245" t="s">
        <v>485</v>
      </c>
      <c r="N485" s="246" t="s">
        <v>486</v>
      </c>
      <c r="O485" s="246" t="s">
        <v>486</v>
      </c>
      <c r="P485" s="245" t="s">
        <v>485</v>
      </c>
      <c r="Q485" s="246" t="s">
        <v>486</v>
      </c>
      <c r="R485" s="245" t="s">
        <v>485</v>
      </c>
    </row>
    <row r="486" spans="1:18" ht="15.75" customHeight="1" x14ac:dyDescent="0.25">
      <c r="A486" s="247" t="s">
        <v>147</v>
      </c>
      <c r="B486" s="45" t="s">
        <v>213</v>
      </c>
      <c r="C486" s="245" t="s">
        <v>485</v>
      </c>
      <c r="D486" s="246" t="s">
        <v>486</v>
      </c>
      <c r="E486" s="245" t="s">
        <v>485</v>
      </c>
      <c r="F486" s="245" t="s">
        <v>485</v>
      </c>
      <c r="G486" s="245" t="s">
        <v>485</v>
      </c>
      <c r="H486" s="245" t="s">
        <v>485</v>
      </c>
      <c r="I486" s="245" t="s">
        <v>485</v>
      </c>
      <c r="J486" s="245" t="s">
        <v>485</v>
      </c>
      <c r="K486" s="245" t="s">
        <v>485</v>
      </c>
      <c r="L486" s="245" t="s">
        <v>485</v>
      </c>
      <c r="M486" s="246" t="s">
        <v>486</v>
      </c>
      <c r="N486" s="245" t="s">
        <v>485</v>
      </c>
      <c r="O486" s="246" t="s">
        <v>486</v>
      </c>
      <c r="P486" s="245" t="s">
        <v>485</v>
      </c>
      <c r="Q486" s="246" t="s">
        <v>486</v>
      </c>
      <c r="R486" s="245" t="s">
        <v>485</v>
      </c>
    </row>
    <row r="487" spans="1:18" ht="15.75" customHeight="1" x14ac:dyDescent="0.25">
      <c r="A487" s="247" t="s">
        <v>148</v>
      </c>
      <c r="B487" s="45" t="s">
        <v>213</v>
      </c>
      <c r="C487" s="246" t="s">
        <v>486</v>
      </c>
      <c r="D487" s="245" t="s">
        <v>485</v>
      </c>
      <c r="E487" s="245" t="s">
        <v>485</v>
      </c>
      <c r="F487" s="246" t="s">
        <v>486</v>
      </c>
      <c r="G487" s="246" t="s">
        <v>486</v>
      </c>
      <c r="H487" s="246" t="s">
        <v>486</v>
      </c>
      <c r="I487" s="245" t="s">
        <v>485</v>
      </c>
      <c r="J487" s="245" t="s">
        <v>485</v>
      </c>
      <c r="K487" s="245" t="s">
        <v>485</v>
      </c>
      <c r="L487" s="246" t="s">
        <v>486</v>
      </c>
      <c r="M487" s="245" t="s">
        <v>485</v>
      </c>
      <c r="N487" s="246" t="s">
        <v>486</v>
      </c>
      <c r="O487" s="246" t="s">
        <v>486</v>
      </c>
      <c r="P487" s="246" t="s">
        <v>486</v>
      </c>
      <c r="Q487" s="246" t="s">
        <v>486</v>
      </c>
      <c r="R487" s="246" t="s">
        <v>486</v>
      </c>
    </row>
    <row r="488" spans="1:18" ht="15.75" customHeight="1" x14ac:dyDescent="0.25">
      <c r="A488" s="247" t="s">
        <v>149</v>
      </c>
      <c r="B488" s="45" t="s">
        <v>213</v>
      </c>
      <c r="C488" s="246" t="s">
        <v>486</v>
      </c>
      <c r="D488" s="246" t="s">
        <v>486</v>
      </c>
      <c r="E488" s="245" t="s">
        <v>485</v>
      </c>
      <c r="F488" s="245" t="s">
        <v>485</v>
      </c>
      <c r="G488" s="246" t="s">
        <v>486</v>
      </c>
      <c r="H488" s="246" t="s">
        <v>486</v>
      </c>
      <c r="I488" s="245" t="s">
        <v>485</v>
      </c>
      <c r="J488" s="245" t="s">
        <v>485</v>
      </c>
      <c r="K488" s="246" t="s">
        <v>486</v>
      </c>
      <c r="L488" s="245" t="s">
        <v>485</v>
      </c>
      <c r="M488" s="246" t="s">
        <v>486</v>
      </c>
      <c r="N488" s="245" t="s">
        <v>485</v>
      </c>
      <c r="O488" s="245" t="s">
        <v>485</v>
      </c>
      <c r="P488" s="246" t="s">
        <v>486</v>
      </c>
      <c r="Q488" s="246" t="s">
        <v>486</v>
      </c>
      <c r="R488" s="246" t="s">
        <v>486</v>
      </c>
    </row>
    <row r="489" spans="1:18" ht="15.75" customHeight="1" x14ac:dyDescent="0.25">
      <c r="A489" s="248" t="s">
        <v>150</v>
      </c>
      <c r="B489" s="45" t="s">
        <v>213</v>
      </c>
      <c r="C489" s="245" t="s">
        <v>485</v>
      </c>
      <c r="D489" s="246" t="s">
        <v>486</v>
      </c>
      <c r="E489" s="245" t="s">
        <v>485</v>
      </c>
      <c r="F489" s="245" t="s">
        <v>485</v>
      </c>
      <c r="G489" s="245" t="s">
        <v>485</v>
      </c>
      <c r="H489" s="245" t="s">
        <v>485</v>
      </c>
      <c r="I489" s="245" t="s">
        <v>485</v>
      </c>
      <c r="J489" s="245" t="s">
        <v>485</v>
      </c>
      <c r="K489" s="245" t="s">
        <v>485</v>
      </c>
      <c r="L489" s="245" t="s">
        <v>485</v>
      </c>
      <c r="M489" s="246" t="s">
        <v>486</v>
      </c>
      <c r="N489" s="245" t="s">
        <v>485</v>
      </c>
      <c r="O489" s="245" t="s">
        <v>485</v>
      </c>
      <c r="P489" s="245" t="s">
        <v>485</v>
      </c>
      <c r="Q489" s="246" t="s">
        <v>486</v>
      </c>
      <c r="R489" s="245" t="s">
        <v>485</v>
      </c>
    </row>
    <row r="490" spans="1:18" ht="15.75" customHeight="1" x14ac:dyDescent="0.25">
      <c r="A490" s="248" t="s">
        <v>151</v>
      </c>
      <c r="B490" s="45" t="s">
        <v>213</v>
      </c>
      <c r="C490" s="245" t="s">
        <v>485</v>
      </c>
      <c r="D490" s="245" t="s">
        <v>485</v>
      </c>
      <c r="E490" s="245" t="s">
        <v>485</v>
      </c>
      <c r="F490" s="245" t="s">
        <v>485</v>
      </c>
      <c r="G490" s="246" t="s">
        <v>486</v>
      </c>
      <c r="H490" s="245" t="s">
        <v>485</v>
      </c>
      <c r="I490" s="245" t="s">
        <v>485</v>
      </c>
      <c r="J490" s="245" t="s">
        <v>485</v>
      </c>
      <c r="K490" s="245" t="s">
        <v>485</v>
      </c>
      <c r="L490" s="245" t="s">
        <v>485</v>
      </c>
      <c r="M490" s="246" t="s">
        <v>486</v>
      </c>
      <c r="N490" s="245" t="s">
        <v>485</v>
      </c>
      <c r="O490" s="245" t="s">
        <v>485</v>
      </c>
      <c r="P490" s="245" t="s">
        <v>485</v>
      </c>
      <c r="Q490" s="246" t="s">
        <v>486</v>
      </c>
      <c r="R490" s="246" t="s">
        <v>486</v>
      </c>
    </row>
    <row r="491" spans="1:18" ht="15.75" customHeight="1" x14ac:dyDescent="0.25">
      <c r="A491" s="248" t="str">
        <f>Características!V68</f>
        <v>_____________________</v>
      </c>
      <c r="B491" s="45" t="s">
        <v>213</v>
      </c>
      <c r="C491" s="249" t="s">
        <v>485</v>
      </c>
      <c r="D491" s="245" t="s">
        <v>485</v>
      </c>
      <c r="E491" s="245" t="s">
        <v>485</v>
      </c>
      <c r="F491" s="245" t="s">
        <v>485</v>
      </c>
      <c r="G491" s="245" t="s">
        <v>485</v>
      </c>
      <c r="H491" s="245" t="s">
        <v>485</v>
      </c>
      <c r="I491" s="245" t="s">
        <v>485</v>
      </c>
      <c r="J491" s="245" t="s">
        <v>485</v>
      </c>
      <c r="K491" s="245" t="s">
        <v>485</v>
      </c>
      <c r="L491" s="245" t="s">
        <v>485</v>
      </c>
      <c r="M491" s="245" t="s">
        <v>485</v>
      </c>
      <c r="N491" s="245" t="s">
        <v>485</v>
      </c>
      <c r="O491" s="245" t="s">
        <v>485</v>
      </c>
      <c r="P491" s="245" t="s">
        <v>485</v>
      </c>
      <c r="Q491" s="246" t="s">
        <v>486</v>
      </c>
      <c r="R491" s="245" t="s">
        <v>485</v>
      </c>
    </row>
    <row r="492" spans="1:18" ht="15.75" customHeight="1" x14ac:dyDescent="0.2">
      <c r="A492" s="13"/>
      <c r="B492" s="13"/>
      <c r="C492" s="13"/>
      <c r="D492" s="13"/>
      <c r="E492" s="13"/>
    </row>
    <row r="493" spans="1:18" ht="12.75" customHeight="1" x14ac:dyDescent="0.2"/>
    <row r="494" spans="1:18" ht="15.75" customHeight="1" x14ac:dyDescent="0.2">
      <c r="A494" s="459" t="s">
        <v>487</v>
      </c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</row>
    <row r="495" spans="1:18" ht="12.75" customHeight="1" x14ac:dyDescent="0.2"/>
    <row r="496" spans="1:18" ht="15.75" customHeight="1" x14ac:dyDescent="0.2">
      <c r="A496" s="460" t="s">
        <v>488</v>
      </c>
      <c r="B496" s="307"/>
      <c r="C496" s="307"/>
      <c r="D496" s="250"/>
      <c r="E496" s="250"/>
      <c r="F496" s="460" t="s">
        <v>489</v>
      </c>
      <c r="G496" s="307"/>
      <c r="H496" s="307"/>
      <c r="I496" s="250"/>
      <c r="J496" s="250"/>
      <c r="K496" s="250"/>
    </row>
    <row r="497" spans="1:8" ht="12.75" customHeight="1" x14ac:dyDescent="0.2"/>
    <row r="498" spans="1:8" ht="15.75" customHeight="1" x14ac:dyDescent="0.2">
      <c r="A498" s="13" t="s">
        <v>490</v>
      </c>
      <c r="B498" s="13" t="s">
        <v>491</v>
      </c>
      <c r="F498" s="13" t="s">
        <v>492</v>
      </c>
      <c r="G498" s="13" t="s">
        <v>493</v>
      </c>
      <c r="H498" s="13"/>
    </row>
    <row r="499" spans="1:8" ht="15.75" customHeight="1" x14ac:dyDescent="0.2">
      <c r="A499" s="13">
        <v>1</v>
      </c>
      <c r="B499" s="251" t="s">
        <v>494</v>
      </c>
      <c r="F499" s="13" t="s">
        <v>263</v>
      </c>
      <c r="G499" s="251" t="str">
        <f>B499</f>
        <v>Furia 1/día, movimiento de combate +5', Curación rápida 1</v>
      </c>
      <c r="H499" s="13"/>
    </row>
    <row r="500" spans="1:8" ht="15.75" customHeight="1" x14ac:dyDescent="0.2">
      <c r="A500" s="13">
        <v>2</v>
      </c>
      <c r="B500" s="233" t="s">
        <v>495</v>
      </c>
      <c r="F500" s="13" t="s">
        <v>264</v>
      </c>
      <c r="G500" s="251" t="str">
        <f>B524</f>
        <v>Conocimiento de bardo, contraoda, fascinar, infundir valor +1, música de bardo</v>
      </c>
      <c r="H500" s="13"/>
    </row>
    <row r="501" spans="1:8" ht="15.75" customHeight="1" x14ac:dyDescent="0.2">
      <c r="A501" s="13">
        <v>3</v>
      </c>
      <c r="B501" s="251" t="s">
        <v>496</v>
      </c>
      <c r="F501" s="13" t="s">
        <v>265</v>
      </c>
      <c r="G501" s="251" t="str">
        <f>B549</f>
        <v>Expulsar o reprender muertos vivientes</v>
      </c>
      <c r="H501" s="13"/>
    </row>
    <row r="502" spans="1:8" ht="15.75" customHeight="1" x14ac:dyDescent="0.2">
      <c r="A502" s="13">
        <v>4</v>
      </c>
      <c r="B502" s="251" t="s">
        <v>497</v>
      </c>
      <c r="F502" s="13" t="s">
        <v>266</v>
      </c>
      <c r="G502" s="251" t="str">
        <f>B574</f>
        <v>Compañero animal, empatía salvaje, sentido de la naturaleza</v>
      </c>
      <c r="H502" s="13"/>
    </row>
    <row r="503" spans="1:8" ht="15.75" customHeight="1" x14ac:dyDescent="0.2">
      <c r="A503" s="13">
        <v>5</v>
      </c>
      <c r="B503" s="251" t="s">
        <v>498</v>
      </c>
      <c r="F503" s="13" t="s">
        <v>267</v>
      </c>
      <c r="G503" s="251" t="str">
        <f>B599</f>
        <v>Empatía salvaje, 1º Enemigo Predilecto, rastrear</v>
      </c>
      <c r="H503" s="13"/>
    </row>
    <row r="504" spans="1:8" ht="15.75" customHeight="1" x14ac:dyDescent="0.2">
      <c r="A504" s="13">
        <v>6</v>
      </c>
      <c r="B504" s="251" t="s">
        <v>499</v>
      </c>
      <c r="F504" s="13" t="s">
        <v>268</v>
      </c>
      <c r="G504" s="251" t="str">
        <f>B623</f>
        <v>Dote adicional</v>
      </c>
      <c r="H504" s="13"/>
    </row>
    <row r="505" spans="1:8" ht="15.75" customHeight="1" x14ac:dyDescent="0.2">
      <c r="A505" s="13">
        <v>7</v>
      </c>
      <c r="B505" s="252" t="s">
        <v>500</v>
      </c>
      <c r="F505" s="13" t="s">
        <v>269</v>
      </c>
      <c r="G505" s="251" t="str">
        <f>B648</f>
        <v>Convocar Familiar</v>
      </c>
      <c r="H505" s="13"/>
    </row>
    <row r="506" spans="1:8" ht="15.75" customHeight="1" x14ac:dyDescent="0.2">
      <c r="A506" s="13">
        <v>8</v>
      </c>
      <c r="B506" s="251" t="s">
        <v>501</v>
      </c>
      <c r="F506" s="13" t="s">
        <v>270</v>
      </c>
      <c r="G506" s="251" t="str">
        <f>B673</f>
        <v>Convocar Familiar, Inscribir rollo de pergamino</v>
      </c>
      <c r="H506" s="13"/>
    </row>
    <row r="507" spans="1:8" ht="15.75" customHeight="1" x14ac:dyDescent="0.2">
      <c r="A507" s="13">
        <v>9</v>
      </c>
      <c r="B507" s="251" t="s">
        <v>502</v>
      </c>
      <c r="F507" s="13" t="s">
        <v>271</v>
      </c>
      <c r="G507" s="251" t="str">
        <f>B698</f>
        <v>Dote adicional, impacto sin arma, ráfaga de golpes</v>
      </c>
      <c r="H507" s="13"/>
    </row>
    <row r="508" spans="1:8" ht="15.75" customHeight="1" x14ac:dyDescent="0.2">
      <c r="A508" s="13">
        <v>10</v>
      </c>
      <c r="B508" s="251" t="s">
        <v>503</v>
      </c>
      <c r="F508" s="13" t="s">
        <v>272</v>
      </c>
      <c r="G508" s="251" t="str">
        <f>B723</f>
        <v>Aura de bien, castigar al mal 1/día, Detectar el mal</v>
      </c>
      <c r="H508" s="13"/>
    </row>
    <row r="509" spans="1:8" ht="15.75" customHeight="1" x14ac:dyDescent="0.2">
      <c r="A509" s="13">
        <v>11</v>
      </c>
      <c r="B509" s="251" t="s">
        <v>504</v>
      </c>
      <c r="F509" s="13" t="s">
        <v>3</v>
      </c>
      <c r="G509" s="251" t="str">
        <f>B748</f>
        <v>Ataque furtivo +1d6, encontrar trampas</v>
      </c>
      <c r="H509" s="13"/>
    </row>
    <row r="510" spans="1:8" ht="15.75" customHeight="1" x14ac:dyDescent="0.2">
      <c r="A510" s="13">
        <v>12</v>
      </c>
      <c r="B510" s="233" t="s">
        <v>505</v>
      </c>
      <c r="F510" s="13"/>
      <c r="G510" s="253"/>
    </row>
    <row r="511" spans="1:8" ht="15.75" customHeight="1" x14ac:dyDescent="0.2">
      <c r="A511" s="13">
        <v>13</v>
      </c>
      <c r="B511" s="233" t="s">
        <v>506</v>
      </c>
      <c r="F511" s="13"/>
      <c r="G511" s="253"/>
    </row>
    <row r="512" spans="1:8" ht="15.75" customHeight="1" x14ac:dyDescent="0.2">
      <c r="A512" s="13">
        <v>14</v>
      </c>
      <c r="B512" s="251" t="s">
        <v>507</v>
      </c>
      <c r="F512" s="460" t="s">
        <v>508</v>
      </c>
      <c r="G512" s="307"/>
      <c r="H512" s="307"/>
    </row>
    <row r="513" spans="1:11" ht="15.75" customHeight="1" x14ac:dyDescent="0.2">
      <c r="A513" s="13">
        <v>15</v>
      </c>
      <c r="B513" s="251" t="s">
        <v>509</v>
      </c>
      <c r="F513" s="13"/>
      <c r="G513" s="13"/>
      <c r="H513" s="13"/>
    </row>
    <row r="514" spans="1:11" ht="15.75" customHeight="1" x14ac:dyDescent="0.2">
      <c r="A514" s="13">
        <v>16</v>
      </c>
      <c r="B514" s="251" t="s">
        <v>510</v>
      </c>
      <c r="F514" s="13" t="s">
        <v>492</v>
      </c>
      <c r="G514" s="13" t="s">
        <v>511</v>
      </c>
      <c r="H514" s="13"/>
    </row>
    <row r="515" spans="1:11" ht="15.75" customHeight="1" x14ac:dyDescent="0.2">
      <c r="A515" s="13">
        <v>17</v>
      </c>
      <c r="B515" s="251" t="s">
        <v>512</v>
      </c>
      <c r="F515" s="13" t="s">
        <v>263</v>
      </c>
      <c r="G515" s="251" t="str">
        <f>B500</f>
        <v>Esquiva asombrosa</v>
      </c>
      <c r="H515" s="13"/>
    </row>
    <row r="516" spans="1:11" ht="15.75" customHeight="1" x14ac:dyDescent="0.2">
      <c r="A516" s="13">
        <v>18</v>
      </c>
      <c r="B516" s="251" t="s">
        <v>513</v>
      </c>
      <c r="F516" s="13" t="s">
        <v>264</v>
      </c>
      <c r="G516" s="251" t="str">
        <f>B525</f>
        <v>-</v>
      </c>
      <c r="H516" s="13"/>
    </row>
    <row r="517" spans="1:11" ht="15.75" customHeight="1" x14ac:dyDescent="0.2">
      <c r="A517" s="13">
        <v>19</v>
      </c>
      <c r="B517" s="251" t="s">
        <v>514</v>
      </c>
      <c r="F517" s="13" t="s">
        <v>265</v>
      </c>
      <c r="G517" s="251" t="str">
        <f>B550</f>
        <v>-</v>
      </c>
      <c r="H517" s="13"/>
    </row>
    <row r="518" spans="1:11" ht="15.75" customHeight="1" x14ac:dyDescent="0.2">
      <c r="A518" s="13">
        <v>20</v>
      </c>
      <c r="B518" s="251" t="s">
        <v>515</v>
      </c>
      <c r="F518" s="13" t="s">
        <v>266</v>
      </c>
      <c r="G518" s="251" t="str">
        <f>B575</f>
        <v>Zancada forestal</v>
      </c>
      <c r="H518" s="13"/>
    </row>
    <row r="519" spans="1:11" ht="15.75" customHeight="1" x14ac:dyDescent="0.2">
      <c r="F519" s="13" t="s">
        <v>267</v>
      </c>
      <c r="G519" s="251" t="str">
        <f>B600</f>
        <v>Estilo de Combate</v>
      </c>
      <c r="H519" s="13"/>
    </row>
    <row r="520" spans="1:11" ht="15.75" customHeight="1" x14ac:dyDescent="0.2">
      <c r="F520" s="13" t="s">
        <v>268</v>
      </c>
      <c r="G520" s="251" t="str">
        <f>B624</f>
        <v>Dote adicional</v>
      </c>
      <c r="H520" s="13"/>
    </row>
    <row r="521" spans="1:11" ht="15.75" customHeight="1" x14ac:dyDescent="0.2">
      <c r="A521" s="455" t="s">
        <v>516</v>
      </c>
      <c r="B521" s="307"/>
      <c r="C521" s="307"/>
      <c r="D521" s="254"/>
      <c r="E521" s="254"/>
      <c r="F521" s="13" t="s">
        <v>269</v>
      </c>
      <c r="G521" s="251" t="str">
        <f>B649</f>
        <v>-</v>
      </c>
      <c r="H521" s="13"/>
      <c r="I521" s="254"/>
      <c r="J521" s="254"/>
      <c r="K521" s="254"/>
    </row>
    <row r="522" spans="1:11" ht="15.75" customHeight="1" x14ac:dyDescent="0.2">
      <c r="F522" s="13" t="s">
        <v>270</v>
      </c>
      <c r="G522" s="251" t="str">
        <f>B674</f>
        <v>-</v>
      </c>
      <c r="H522" s="13"/>
    </row>
    <row r="523" spans="1:11" ht="15.75" customHeight="1" x14ac:dyDescent="0.2">
      <c r="A523" s="13" t="s">
        <v>490</v>
      </c>
      <c r="B523" s="13" t="s">
        <v>517</v>
      </c>
      <c r="F523" s="13" t="s">
        <v>271</v>
      </c>
      <c r="G523" s="251" t="str">
        <f>B699</f>
        <v>Dote adicional, evasión</v>
      </c>
      <c r="H523" s="13"/>
    </row>
    <row r="524" spans="1:11" ht="15.75" customHeight="1" x14ac:dyDescent="0.2">
      <c r="A524" s="112">
        <v>1</v>
      </c>
      <c r="B524" s="13" t="s">
        <v>518</v>
      </c>
      <c r="F524" s="13" t="s">
        <v>272</v>
      </c>
      <c r="G524" s="251" t="str">
        <f>B724</f>
        <v>Imposición de manos, gracia divina</v>
      </c>
      <c r="H524" s="13"/>
    </row>
    <row r="525" spans="1:11" ht="15.75" customHeight="1" x14ac:dyDescent="0.2">
      <c r="A525" s="112">
        <v>2</v>
      </c>
      <c r="B525" s="13" t="s">
        <v>213</v>
      </c>
      <c r="F525" s="13" t="s">
        <v>3</v>
      </c>
      <c r="G525" s="251" t="str">
        <f>B749</f>
        <v>Evasión</v>
      </c>
      <c r="H525" s="13"/>
    </row>
    <row r="526" spans="1:11" ht="15.75" customHeight="1" x14ac:dyDescent="0.2">
      <c r="A526" s="13">
        <v>3</v>
      </c>
      <c r="B526" s="13" t="s">
        <v>519</v>
      </c>
    </row>
    <row r="527" spans="1:11" ht="15.75" customHeight="1" x14ac:dyDescent="0.2">
      <c r="A527" s="13">
        <v>4</v>
      </c>
      <c r="B527" s="13" t="s">
        <v>213</v>
      </c>
    </row>
    <row r="528" spans="1:11" ht="15.75" customHeight="1" x14ac:dyDescent="0.2">
      <c r="A528" s="13">
        <v>5</v>
      </c>
      <c r="B528" s="13" t="s">
        <v>213</v>
      </c>
      <c r="F528" s="460" t="s">
        <v>520</v>
      </c>
      <c r="G528" s="307"/>
      <c r="H528" s="307"/>
    </row>
    <row r="529" spans="1:9" ht="15.75" customHeight="1" x14ac:dyDescent="0.2">
      <c r="A529" s="13">
        <v>6</v>
      </c>
      <c r="B529" s="13" t="s">
        <v>521</v>
      </c>
      <c r="F529" s="13"/>
      <c r="G529" s="13"/>
      <c r="H529" s="13"/>
    </row>
    <row r="530" spans="1:9" ht="15.75" customHeight="1" x14ac:dyDescent="0.2">
      <c r="A530" s="13">
        <v>7</v>
      </c>
      <c r="B530" s="13" t="s">
        <v>213</v>
      </c>
      <c r="F530" s="13" t="s">
        <v>492</v>
      </c>
      <c r="G530" s="13" t="s">
        <v>522</v>
      </c>
      <c r="H530" s="13"/>
    </row>
    <row r="531" spans="1:9" ht="15.75" customHeight="1" x14ac:dyDescent="0.2">
      <c r="A531" s="13">
        <v>8</v>
      </c>
      <c r="B531" s="13" t="s">
        <v>523</v>
      </c>
      <c r="F531" s="13" t="s">
        <v>263</v>
      </c>
      <c r="G531" s="251" t="str">
        <f>B501</f>
        <v>Agarre Brutal</v>
      </c>
      <c r="H531" s="13"/>
    </row>
    <row r="532" spans="1:9" ht="15.75" customHeight="1" x14ac:dyDescent="0.2">
      <c r="A532" s="13">
        <v>9</v>
      </c>
      <c r="B532" s="13" t="s">
        <v>524</v>
      </c>
      <c r="F532" s="13" t="s">
        <v>264</v>
      </c>
      <c r="G532" s="251" t="str">
        <f>B526</f>
        <v>Infundir Gran Aptitud</v>
      </c>
      <c r="H532" s="13"/>
    </row>
    <row r="533" spans="1:9" ht="15.75" customHeight="1" x14ac:dyDescent="0.2">
      <c r="A533" s="13">
        <v>10</v>
      </c>
      <c r="B533" s="13" t="s">
        <v>213</v>
      </c>
      <c r="F533" s="13" t="s">
        <v>265</v>
      </c>
      <c r="G533" s="251" t="str">
        <f>B551</f>
        <v>-</v>
      </c>
      <c r="H533" s="13"/>
    </row>
    <row r="534" spans="1:9" ht="15.75" customHeight="1" x14ac:dyDescent="0.2">
      <c r="A534" s="13">
        <v>11</v>
      </c>
      <c r="B534" s="13" t="s">
        <v>213</v>
      </c>
      <c r="F534" s="13" t="s">
        <v>266</v>
      </c>
      <c r="G534" s="251" t="str">
        <f>B576</f>
        <v>Pisada sin rastro</v>
      </c>
      <c r="I534" s="13" t="s">
        <v>525</v>
      </c>
    </row>
    <row r="535" spans="1:9" ht="15.75" customHeight="1" x14ac:dyDescent="0.2">
      <c r="A535" s="13">
        <v>12</v>
      </c>
      <c r="B535" s="13" t="s">
        <v>526</v>
      </c>
      <c r="F535" s="13" t="s">
        <v>267</v>
      </c>
      <c r="G535" s="251" t="str">
        <f>B601</f>
        <v>Aguante</v>
      </c>
      <c r="H535" s="13"/>
    </row>
    <row r="536" spans="1:9" ht="15.75" customHeight="1" x14ac:dyDescent="0.2">
      <c r="A536" s="13">
        <v>13</v>
      </c>
      <c r="B536" s="13" t="s">
        <v>213</v>
      </c>
      <c r="F536" s="13" t="s">
        <v>268</v>
      </c>
      <c r="G536" s="251" t="str">
        <f>B625</f>
        <v>-</v>
      </c>
      <c r="H536" s="13"/>
    </row>
    <row r="537" spans="1:9" ht="15.75" customHeight="1" x14ac:dyDescent="0.2">
      <c r="A537" s="13">
        <v>14</v>
      </c>
      <c r="B537" s="13" t="s">
        <v>527</v>
      </c>
      <c r="F537" s="13" t="s">
        <v>269</v>
      </c>
      <c r="G537" s="251" t="str">
        <f>B650</f>
        <v>-</v>
      </c>
      <c r="H537" s="13"/>
    </row>
    <row r="538" spans="1:9" ht="15.75" customHeight="1" x14ac:dyDescent="0.2">
      <c r="A538" s="13">
        <v>15</v>
      </c>
      <c r="B538" s="13" t="s">
        <v>528</v>
      </c>
      <c r="F538" s="13" t="s">
        <v>270</v>
      </c>
      <c r="G538" s="251" t="str">
        <f>B675</f>
        <v>-</v>
      </c>
      <c r="H538" s="13"/>
    </row>
    <row r="539" spans="1:9" ht="15.75" customHeight="1" x14ac:dyDescent="0.2">
      <c r="A539" s="13">
        <v>16</v>
      </c>
      <c r="B539" s="13" t="s">
        <v>213</v>
      </c>
      <c r="F539" s="13" t="s">
        <v>271</v>
      </c>
      <c r="G539" s="251" t="str">
        <f>B700</f>
        <v>Mente en calma</v>
      </c>
      <c r="H539" s="13"/>
    </row>
    <row r="540" spans="1:9" ht="15.75" customHeight="1" x14ac:dyDescent="0.2">
      <c r="A540" s="13">
        <v>17</v>
      </c>
      <c r="B540" s="13" t="s">
        <v>213</v>
      </c>
      <c r="F540" s="13" t="s">
        <v>272</v>
      </c>
      <c r="G540" s="251" t="str">
        <f>B725</f>
        <v>Aura de valor, Salud divina</v>
      </c>
      <c r="H540" s="13"/>
    </row>
    <row r="541" spans="1:9" ht="15.75" customHeight="1" x14ac:dyDescent="0.2">
      <c r="A541" s="13">
        <v>18</v>
      </c>
      <c r="B541" s="255" t="s">
        <v>529</v>
      </c>
      <c r="F541" s="13" t="s">
        <v>3</v>
      </c>
      <c r="G541" s="251" t="str">
        <f>B750</f>
        <v>Ataque furtivo +2d6, Sentido de las trampas +1</v>
      </c>
      <c r="H541" s="13"/>
    </row>
    <row r="542" spans="1:9" ht="15.75" customHeight="1" x14ac:dyDescent="0.2">
      <c r="A542" s="13">
        <v>19</v>
      </c>
      <c r="B542" s="13" t="s">
        <v>213</v>
      </c>
    </row>
    <row r="543" spans="1:9" ht="15.75" customHeight="1" x14ac:dyDescent="0.2">
      <c r="A543" s="13">
        <v>20</v>
      </c>
      <c r="B543" s="13" t="s">
        <v>530</v>
      </c>
    </row>
    <row r="544" spans="1:9" ht="15.75" customHeight="1" x14ac:dyDescent="0.2">
      <c r="F544" s="460" t="s">
        <v>531</v>
      </c>
      <c r="G544" s="307"/>
      <c r="H544" s="307"/>
    </row>
    <row r="545" spans="1:11" ht="15.75" customHeight="1" x14ac:dyDescent="0.2">
      <c r="F545" s="13"/>
      <c r="G545" s="13"/>
      <c r="H545" s="13"/>
    </row>
    <row r="546" spans="1:11" ht="15.75" customHeight="1" x14ac:dyDescent="0.2">
      <c r="A546" s="456" t="s">
        <v>532</v>
      </c>
      <c r="B546" s="307"/>
      <c r="C546" s="307"/>
      <c r="D546" s="254"/>
      <c r="E546" s="254"/>
      <c r="F546" s="13" t="s">
        <v>492</v>
      </c>
      <c r="G546" s="13" t="s">
        <v>533</v>
      </c>
      <c r="H546" s="13"/>
      <c r="I546" s="254"/>
      <c r="J546" s="254"/>
      <c r="K546" s="254"/>
    </row>
    <row r="547" spans="1:11" ht="15.75" customHeight="1" x14ac:dyDescent="0.2">
      <c r="F547" s="13" t="s">
        <v>263</v>
      </c>
      <c r="G547" s="251" t="str">
        <f>B502</f>
        <v xml:space="preserve">Furia 2/día, Armas Brutales 1 incr., Movimiento de combate +10'
</v>
      </c>
      <c r="H547" s="13"/>
    </row>
    <row r="548" spans="1:11" ht="15.75" customHeight="1" x14ac:dyDescent="0.2">
      <c r="A548" s="13" t="s">
        <v>490</v>
      </c>
      <c r="B548" s="13" t="s">
        <v>534</v>
      </c>
      <c r="F548" s="13" t="s">
        <v>264</v>
      </c>
      <c r="G548" s="251" t="str">
        <f>B527</f>
        <v>-</v>
      </c>
      <c r="H548" s="13"/>
    </row>
    <row r="549" spans="1:11" ht="15.75" customHeight="1" x14ac:dyDescent="0.2">
      <c r="A549" s="112">
        <v>1</v>
      </c>
      <c r="B549" s="13" t="s">
        <v>535</v>
      </c>
      <c r="F549" s="13" t="s">
        <v>265</v>
      </c>
      <c r="G549" s="251" t="str">
        <f>B552</f>
        <v>-</v>
      </c>
      <c r="H549" s="13"/>
    </row>
    <row r="550" spans="1:11" ht="15.75" customHeight="1" x14ac:dyDescent="0.2">
      <c r="A550" s="112">
        <v>2</v>
      </c>
      <c r="B550" s="13" t="s">
        <v>213</v>
      </c>
      <c r="F550" s="13" t="s">
        <v>266</v>
      </c>
      <c r="G550" s="251" t="str">
        <f>B577</f>
        <v>Resistir la atracción de la naturaleza</v>
      </c>
      <c r="H550" s="13"/>
    </row>
    <row r="551" spans="1:11" ht="15.75" customHeight="1" x14ac:dyDescent="0.2">
      <c r="A551" s="13">
        <v>3</v>
      </c>
      <c r="B551" s="13" t="s">
        <v>213</v>
      </c>
      <c r="F551" s="13" t="s">
        <v>267</v>
      </c>
      <c r="G551" s="251" t="str">
        <f>B602</f>
        <v>Compañero animal</v>
      </c>
      <c r="H551" s="13"/>
    </row>
    <row r="552" spans="1:11" ht="15.75" customHeight="1" x14ac:dyDescent="0.2">
      <c r="A552" s="13">
        <v>4</v>
      </c>
      <c r="B552" s="13" t="s">
        <v>213</v>
      </c>
      <c r="F552" s="13" t="s">
        <v>268</v>
      </c>
      <c r="G552" s="251" t="str">
        <f>B626</f>
        <v>Dote adicional</v>
      </c>
      <c r="H552" s="13"/>
    </row>
    <row r="553" spans="1:11" ht="15.75" customHeight="1" x14ac:dyDescent="0.2">
      <c r="A553" s="13">
        <v>5</v>
      </c>
      <c r="B553" s="13" t="s">
        <v>213</v>
      </c>
      <c r="F553" s="13" t="s">
        <v>269</v>
      </c>
      <c r="G553" s="251" t="str">
        <f>B651</f>
        <v>-</v>
      </c>
      <c r="H553" s="13"/>
    </row>
    <row r="554" spans="1:11" ht="15.75" customHeight="1" x14ac:dyDescent="0.2">
      <c r="A554" s="13">
        <v>6</v>
      </c>
      <c r="B554" s="13" t="s">
        <v>213</v>
      </c>
      <c r="F554" s="13" t="s">
        <v>270</v>
      </c>
      <c r="G554" s="251" t="str">
        <f>B676</f>
        <v>-</v>
      </c>
      <c r="H554" s="13"/>
    </row>
    <row r="555" spans="1:11" ht="15.75" customHeight="1" x14ac:dyDescent="0.2">
      <c r="A555" s="13">
        <v>7</v>
      </c>
      <c r="B555" s="13" t="s">
        <v>213</v>
      </c>
      <c r="F555" s="13" t="s">
        <v>271</v>
      </c>
      <c r="G555" s="251" t="str">
        <f>B701</f>
        <v>Impacto ki (mágico), ralentizar caída 20'</v>
      </c>
      <c r="H555" s="13"/>
    </row>
    <row r="556" spans="1:11" ht="15.75" customHeight="1" x14ac:dyDescent="0.2">
      <c r="A556" s="13">
        <v>8</v>
      </c>
      <c r="B556" s="13" t="s">
        <v>213</v>
      </c>
      <c r="F556" s="13" t="s">
        <v>272</v>
      </c>
      <c r="G556" s="251" t="str">
        <f>B726</f>
        <v>Expulsar muertos vivientes</v>
      </c>
      <c r="H556" s="13"/>
    </row>
    <row r="557" spans="1:11" ht="15.75" customHeight="1" x14ac:dyDescent="0.2">
      <c r="A557" s="13">
        <v>9</v>
      </c>
      <c r="B557" s="13" t="s">
        <v>213</v>
      </c>
      <c r="F557" s="13" t="s">
        <v>3</v>
      </c>
      <c r="G557" s="251" t="str">
        <f>B751</f>
        <v>Esquiva asombrosa</v>
      </c>
      <c r="H557" s="13"/>
    </row>
    <row r="558" spans="1:11" ht="15.75" customHeight="1" x14ac:dyDescent="0.2">
      <c r="A558" s="13">
        <v>10</v>
      </c>
      <c r="B558" s="13" t="s">
        <v>213</v>
      </c>
    </row>
    <row r="559" spans="1:11" ht="15.75" customHeight="1" x14ac:dyDescent="0.2">
      <c r="A559" s="13">
        <v>11</v>
      </c>
      <c r="B559" s="13" t="s">
        <v>213</v>
      </c>
    </row>
    <row r="560" spans="1:11" ht="15.75" customHeight="1" x14ac:dyDescent="0.2">
      <c r="A560" s="13">
        <v>12</v>
      </c>
      <c r="B560" s="13" t="s">
        <v>213</v>
      </c>
      <c r="F560" s="460" t="s">
        <v>536</v>
      </c>
      <c r="G560" s="307"/>
      <c r="H560" s="307"/>
    </row>
    <row r="561" spans="1:11" ht="15.75" customHeight="1" x14ac:dyDescent="0.2">
      <c r="A561" s="13">
        <v>13</v>
      </c>
      <c r="B561" s="13" t="s">
        <v>213</v>
      </c>
      <c r="F561" s="13"/>
      <c r="G561" s="13"/>
      <c r="H561" s="13"/>
    </row>
    <row r="562" spans="1:11" ht="15.75" customHeight="1" x14ac:dyDescent="0.2">
      <c r="A562" s="13">
        <v>14</v>
      </c>
      <c r="B562" s="13" t="s">
        <v>213</v>
      </c>
      <c r="F562" s="13" t="s">
        <v>492</v>
      </c>
      <c r="G562" s="13" t="s">
        <v>537</v>
      </c>
      <c r="H562" s="13"/>
    </row>
    <row r="563" spans="1:11" ht="15.75" customHeight="1" x14ac:dyDescent="0.2">
      <c r="A563" s="13">
        <v>15</v>
      </c>
      <c r="B563" s="13" t="s">
        <v>213</v>
      </c>
      <c r="F563" s="13" t="s">
        <v>263</v>
      </c>
      <c r="G563" s="251" t="str">
        <f>B503</f>
        <v xml:space="preserve">Curación rápida 5
</v>
      </c>
      <c r="H563" s="13"/>
    </row>
    <row r="564" spans="1:11" ht="15.75" customHeight="1" x14ac:dyDescent="0.2">
      <c r="A564" s="13">
        <v>16</v>
      </c>
      <c r="B564" s="13" t="s">
        <v>213</v>
      </c>
      <c r="F564" s="13" t="s">
        <v>264</v>
      </c>
      <c r="G564" s="251" t="str">
        <f>B528</f>
        <v>-</v>
      </c>
      <c r="H564" s="13"/>
    </row>
    <row r="565" spans="1:11" ht="15.75" customHeight="1" x14ac:dyDescent="0.2">
      <c r="A565" s="13">
        <v>17</v>
      </c>
      <c r="B565" s="13" t="s">
        <v>213</v>
      </c>
      <c r="F565" s="13" t="s">
        <v>265</v>
      </c>
      <c r="G565" s="251" t="str">
        <f>B553</f>
        <v>-</v>
      </c>
      <c r="H565" s="13"/>
    </row>
    <row r="566" spans="1:11" ht="15.75" customHeight="1" x14ac:dyDescent="0.2">
      <c r="A566" s="13">
        <v>18</v>
      </c>
      <c r="B566" s="13" t="s">
        <v>213</v>
      </c>
      <c r="F566" s="13" t="s">
        <v>266</v>
      </c>
      <c r="G566" s="251" t="str">
        <f>B578</f>
        <v>Forma salvaje 1/día</v>
      </c>
      <c r="H566" s="13"/>
    </row>
    <row r="567" spans="1:11" ht="15.75" customHeight="1" x14ac:dyDescent="0.2">
      <c r="A567" s="13">
        <v>19</v>
      </c>
      <c r="B567" s="13" t="s">
        <v>213</v>
      </c>
      <c r="F567" s="13" t="s">
        <v>267</v>
      </c>
      <c r="G567" s="251" t="str">
        <f>B603</f>
        <v>2º enemigo predilecto</v>
      </c>
      <c r="H567" s="13"/>
    </row>
    <row r="568" spans="1:11" ht="15.75" customHeight="1" x14ac:dyDescent="0.2">
      <c r="A568" s="13">
        <v>20</v>
      </c>
      <c r="B568" s="13" t="s">
        <v>213</v>
      </c>
      <c r="F568" s="13" t="s">
        <v>268</v>
      </c>
      <c r="G568" s="251" t="str">
        <f>B627</f>
        <v>-</v>
      </c>
      <c r="H568" s="13"/>
    </row>
    <row r="569" spans="1:11" ht="15.75" customHeight="1" x14ac:dyDescent="0.2">
      <c r="F569" s="13" t="s">
        <v>269</v>
      </c>
      <c r="G569" s="251" t="str">
        <f>B652</f>
        <v>-</v>
      </c>
      <c r="H569" s="13"/>
    </row>
    <row r="570" spans="1:11" ht="15.75" customHeight="1" x14ac:dyDescent="0.2">
      <c r="F570" s="13" t="s">
        <v>270</v>
      </c>
      <c r="G570" s="251" t="str">
        <f>B677</f>
        <v>Dote adicional</v>
      </c>
      <c r="H570" s="13"/>
    </row>
    <row r="571" spans="1:11" ht="15.75" customHeight="1" x14ac:dyDescent="0.2">
      <c r="A571" s="457" t="s">
        <v>538</v>
      </c>
      <c r="B571" s="307"/>
      <c r="C571" s="307"/>
      <c r="D571" s="254"/>
      <c r="E571" s="254"/>
      <c r="F571" s="13" t="s">
        <v>271</v>
      </c>
      <c r="G571" s="251" t="str">
        <f>B702</f>
        <v>Pureza corporal</v>
      </c>
      <c r="H571" s="13"/>
      <c r="I571" s="254"/>
      <c r="J571" s="254"/>
      <c r="K571" s="254"/>
    </row>
    <row r="572" spans="1:11" ht="15.75" customHeight="1" x14ac:dyDescent="0.2">
      <c r="F572" s="13" t="s">
        <v>272</v>
      </c>
      <c r="G572" s="251" t="str">
        <f>B727</f>
        <v>Castigar al mal 2/día, Montura especial</v>
      </c>
      <c r="H572" s="13"/>
    </row>
    <row r="573" spans="1:11" ht="15.75" customHeight="1" x14ac:dyDescent="0.2">
      <c r="A573" s="13" t="s">
        <v>490</v>
      </c>
      <c r="B573" s="13" t="s">
        <v>539</v>
      </c>
      <c r="F573" s="13" t="s">
        <v>3</v>
      </c>
      <c r="G573" s="251" t="str">
        <f>B752</f>
        <v>Ataque furtivo +3d6</v>
      </c>
      <c r="H573" s="13"/>
    </row>
    <row r="574" spans="1:11" ht="15.75" customHeight="1" x14ac:dyDescent="0.2">
      <c r="A574" s="112">
        <v>1</v>
      </c>
      <c r="B574" s="13" t="s">
        <v>540</v>
      </c>
    </row>
    <row r="575" spans="1:11" ht="15.75" customHeight="1" x14ac:dyDescent="0.2">
      <c r="A575" s="112">
        <v>2</v>
      </c>
      <c r="B575" s="13" t="s">
        <v>541</v>
      </c>
    </row>
    <row r="576" spans="1:11" ht="15.75" customHeight="1" x14ac:dyDescent="0.2">
      <c r="A576" s="13">
        <v>3</v>
      </c>
      <c r="B576" s="13" t="s">
        <v>542</v>
      </c>
      <c r="F576" s="460" t="s">
        <v>543</v>
      </c>
      <c r="G576" s="307"/>
      <c r="H576" s="307"/>
    </row>
    <row r="577" spans="1:8" ht="15.75" customHeight="1" x14ac:dyDescent="0.2">
      <c r="A577" s="13">
        <v>4</v>
      </c>
      <c r="B577" s="13" t="s">
        <v>544</v>
      </c>
      <c r="F577" s="13"/>
      <c r="G577" s="13"/>
      <c r="H577" s="13"/>
    </row>
    <row r="578" spans="1:8" ht="15.75" customHeight="1" x14ac:dyDescent="0.2">
      <c r="A578" s="13">
        <v>5</v>
      </c>
      <c r="B578" s="13" t="s">
        <v>545</v>
      </c>
      <c r="F578" s="13" t="s">
        <v>492</v>
      </c>
      <c r="G578" s="13" t="s">
        <v>546</v>
      </c>
      <c r="H578" s="13"/>
    </row>
    <row r="579" spans="1:8" ht="15.75" customHeight="1" x14ac:dyDescent="0.2">
      <c r="A579" s="13">
        <v>6</v>
      </c>
      <c r="B579" s="13" t="s">
        <v>547</v>
      </c>
      <c r="F579" s="13" t="s">
        <v>263</v>
      </c>
      <c r="G579" s="251" t="str">
        <f>B504</f>
        <v xml:space="preserve">Esquiva Asombrosa Mejorada.
</v>
      </c>
      <c r="H579" s="13"/>
    </row>
    <row r="580" spans="1:8" ht="15.75" customHeight="1" x14ac:dyDescent="0.2">
      <c r="A580" s="13">
        <v>7</v>
      </c>
      <c r="B580" s="13" t="s">
        <v>548</v>
      </c>
      <c r="F580" s="13" t="s">
        <v>264</v>
      </c>
      <c r="G580" s="251" t="str">
        <f>B529</f>
        <v>Sugestión</v>
      </c>
      <c r="H580" s="13"/>
    </row>
    <row r="581" spans="1:8" ht="15.75" customHeight="1" x14ac:dyDescent="0.2">
      <c r="A581" s="13">
        <v>8</v>
      </c>
      <c r="B581" s="13" t="s">
        <v>549</v>
      </c>
      <c r="F581" s="13" t="s">
        <v>265</v>
      </c>
      <c r="G581" s="251" t="str">
        <f>B554</f>
        <v>-</v>
      </c>
      <c r="H581" s="13"/>
    </row>
    <row r="582" spans="1:8" ht="15.75" customHeight="1" x14ac:dyDescent="0.2">
      <c r="A582" s="13">
        <v>9</v>
      </c>
      <c r="B582" s="13" t="s">
        <v>550</v>
      </c>
      <c r="F582" s="13" t="s">
        <v>266</v>
      </c>
      <c r="G582" s="251" t="str">
        <f>B579</f>
        <v>Forma salvaje 2/día</v>
      </c>
      <c r="H582" s="13"/>
    </row>
    <row r="583" spans="1:8" ht="15.75" customHeight="1" x14ac:dyDescent="0.2">
      <c r="A583" s="13">
        <v>10</v>
      </c>
      <c r="B583" s="13" t="s">
        <v>551</v>
      </c>
      <c r="F583" s="13" t="s">
        <v>267</v>
      </c>
      <c r="G583" s="251" t="str">
        <f>B604</f>
        <v>Estilo de combate mejorado</v>
      </c>
      <c r="H583" s="13"/>
    </row>
    <row r="584" spans="1:8" ht="15.75" customHeight="1" x14ac:dyDescent="0.2">
      <c r="A584" s="13">
        <v>11</v>
      </c>
      <c r="B584" s="13" t="s">
        <v>552</v>
      </c>
      <c r="F584" s="13" t="s">
        <v>268</v>
      </c>
      <c r="G584" s="251" t="str">
        <f>B628</f>
        <v>Dote adicional</v>
      </c>
      <c r="H584" s="13"/>
    </row>
    <row r="585" spans="1:8" ht="15.75" customHeight="1" x14ac:dyDescent="0.2">
      <c r="A585" s="13">
        <v>12</v>
      </c>
      <c r="B585" s="13" t="s">
        <v>553</v>
      </c>
      <c r="F585" s="13" t="s">
        <v>269</v>
      </c>
      <c r="G585" s="251" t="str">
        <f>B653</f>
        <v>-</v>
      </c>
      <c r="H585" s="13"/>
    </row>
    <row r="586" spans="1:8" ht="15.75" customHeight="1" x14ac:dyDescent="0.2">
      <c r="A586" s="13">
        <v>13</v>
      </c>
      <c r="B586" s="13" t="s">
        <v>554</v>
      </c>
      <c r="F586" s="13" t="s">
        <v>270</v>
      </c>
      <c r="G586" s="251" t="str">
        <f>B678</f>
        <v>-</v>
      </c>
      <c r="H586" s="13"/>
    </row>
    <row r="587" spans="1:8" ht="15.75" customHeight="1" x14ac:dyDescent="0.2">
      <c r="A587" s="13">
        <v>14</v>
      </c>
      <c r="B587" s="13" t="s">
        <v>555</v>
      </c>
      <c r="F587" s="13" t="s">
        <v>271</v>
      </c>
      <c r="G587" s="251" t="str">
        <f>B703</f>
        <v>Dote adicional, ralentizar caída 30'</v>
      </c>
      <c r="H587" s="13"/>
    </row>
    <row r="588" spans="1:8" ht="15.75" customHeight="1" x14ac:dyDescent="0.2">
      <c r="A588" s="13">
        <v>15</v>
      </c>
      <c r="B588" s="13" t="s">
        <v>556</v>
      </c>
      <c r="F588" s="13" t="s">
        <v>272</v>
      </c>
      <c r="G588" s="251" t="str">
        <f>B728</f>
        <v>Quitar enfermedad 1/semana</v>
      </c>
      <c r="H588" s="13"/>
    </row>
    <row r="589" spans="1:8" ht="15.75" customHeight="1" x14ac:dyDescent="0.2">
      <c r="A589" s="13">
        <v>16</v>
      </c>
      <c r="B589" s="13" t="s">
        <v>557</v>
      </c>
      <c r="F589" s="13" t="s">
        <v>3</v>
      </c>
      <c r="G589" s="251" t="str">
        <f>B753</f>
        <v>Sentido de las trampas +2</v>
      </c>
      <c r="H589" s="13"/>
    </row>
    <row r="590" spans="1:8" ht="15.75" customHeight="1" x14ac:dyDescent="0.2">
      <c r="A590" s="13">
        <v>17</v>
      </c>
      <c r="B590" s="13" t="s">
        <v>213</v>
      </c>
      <c r="G590" s="251"/>
    </row>
    <row r="591" spans="1:8" ht="15.75" customHeight="1" x14ac:dyDescent="0.2">
      <c r="A591" s="13">
        <v>18</v>
      </c>
      <c r="B591" s="13" t="s">
        <v>558</v>
      </c>
    </row>
    <row r="592" spans="1:8" ht="15.75" customHeight="1" x14ac:dyDescent="0.2">
      <c r="A592" s="13">
        <v>19</v>
      </c>
      <c r="B592" s="13" t="s">
        <v>213</v>
      </c>
      <c r="F592" s="460" t="s">
        <v>559</v>
      </c>
      <c r="G592" s="307"/>
      <c r="H592" s="307"/>
    </row>
    <row r="593" spans="1:11" ht="15.75" customHeight="1" x14ac:dyDescent="0.2">
      <c r="A593" s="13">
        <v>20</v>
      </c>
      <c r="B593" s="13" t="s">
        <v>560</v>
      </c>
      <c r="F593" s="13"/>
      <c r="G593" s="13"/>
      <c r="H593" s="13"/>
    </row>
    <row r="594" spans="1:11" ht="15.75" customHeight="1" x14ac:dyDescent="0.2">
      <c r="F594" s="13" t="s">
        <v>492</v>
      </c>
      <c r="G594" s="13" t="s">
        <v>561</v>
      </c>
      <c r="H594" s="13"/>
    </row>
    <row r="595" spans="1:11" ht="15.75" customHeight="1" x14ac:dyDescent="0.2">
      <c r="F595" s="13" t="s">
        <v>263</v>
      </c>
      <c r="G595" s="251" t="str">
        <f>B505</f>
        <v>RD 1/-, Armas Brutales, Movimiento de combate +15'</v>
      </c>
      <c r="H595" s="13"/>
    </row>
    <row r="596" spans="1:11" ht="15.75" customHeight="1" x14ac:dyDescent="0.2">
      <c r="A596" s="458" t="s">
        <v>562</v>
      </c>
      <c r="B596" s="307"/>
      <c r="C596" s="307"/>
      <c r="D596" s="254"/>
      <c r="E596" s="254"/>
      <c r="F596" s="13" t="s">
        <v>264</v>
      </c>
      <c r="G596" s="251" t="str">
        <f>B530</f>
        <v>-</v>
      </c>
      <c r="H596" s="13"/>
      <c r="I596" s="254"/>
      <c r="J596" s="254"/>
      <c r="K596" s="254"/>
    </row>
    <row r="597" spans="1:11" ht="15.75" customHeight="1" x14ac:dyDescent="0.2">
      <c r="F597" s="13" t="s">
        <v>265</v>
      </c>
      <c r="G597" s="251" t="str">
        <f>B555</f>
        <v>-</v>
      </c>
      <c r="H597" s="13"/>
    </row>
    <row r="598" spans="1:11" ht="15.75" customHeight="1" x14ac:dyDescent="0.2">
      <c r="A598" s="13" t="s">
        <v>490</v>
      </c>
      <c r="B598" s="13" t="s">
        <v>563</v>
      </c>
      <c r="F598" s="13" t="s">
        <v>266</v>
      </c>
      <c r="G598" s="251" t="str">
        <f>B580</f>
        <v>Forma salvaje 3/día</v>
      </c>
      <c r="H598" s="13"/>
    </row>
    <row r="599" spans="1:11" ht="15.75" customHeight="1" x14ac:dyDescent="0.2">
      <c r="A599" s="112">
        <v>1</v>
      </c>
      <c r="B599" s="13" t="s">
        <v>564</v>
      </c>
      <c r="F599" s="13" t="s">
        <v>267</v>
      </c>
      <c r="G599" s="251" t="str">
        <f>B605</f>
        <v>Zancada forestal</v>
      </c>
      <c r="H599" s="13"/>
    </row>
    <row r="600" spans="1:11" ht="15.75" customHeight="1" x14ac:dyDescent="0.2">
      <c r="A600" s="112">
        <v>2</v>
      </c>
      <c r="B600" s="13" t="s">
        <v>565</v>
      </c>
      <c r="F600" s="13" t="s">
        <v>268</v>
      </c>
      <c r="G600" s="251" t="str">
        <f>B629</f>
        <v>-</v>
      </c>
      <c r="H600" s="13"/>
    </row>
    <row r="601" spans="1:11" ht="15.75" customHeight="1" x14ac:dyDescent="0.2">
      <c r="A601" s="13">
        <v>3</v>
      </c>
      <c r="B601" s="13" t="s">
        <v>566</v>
      </c>
      <c r="F601" s="13" t="s">
        <v>269</v>
      </c>
      <c r="G601" s="251" t="str">
        <f>B654</f>
        <v>-</v>
      </c>
      <c r="H601" s="13"/>
    </row>
    <row r="602" spans="1:11" ht="15.75" customHeight="1" x14ac:dyDescent="0.2">
      <c r="A602" s="13">
        <v>4</v>
      </c>
      <c r="B602" s="13" t="s">
        <v>567</v>
      </c>
      <c r="F602" s="13" t="s">
        <v>270</v>
      </c>
      <c r="G602" s="251" t="str">
        <f>B679</f>
        <v>-</v>
      </c>
      <c r="H602" s="13"/>
    </row>
    <row r="603" spans="1:11" ht="15.75" customHeight="1" x14ac:dyDescent="0.2">
      <c r="A603" s="13">
        <v>5</v>
      </c>
      <c r="B603" s="13" t="s">
        <v>568</v>
      </c>
      <c r="F603" s="13" t="s">
        <v>271</v>
      </c>
      <c r="G603" s="251" t="str">
        <f>B704</f>
        <v>Plenitud corporal,</v>
      </c>
      <c r="H603" s="13"/>
    </row>
    <row r="604" spans="1:11" ht="15.75" customHeight="1" x14ac:dyDescent="0.2">
      <c r="A604" s="13">
        <v>6</v>
      </c>
      <c r="B604" s="13" t="s">
        <v>569</v>
      </c>
      <c r="F604" s="13" t="s">
        <v>272</v>
      </c>
      <c r="G604" s="251" t="str">
        <f>B729</f>
        <v>-</v>
      </c>
      <c r="H604" s="13"/>
    </row>
    <row r="605" spans="1:11" ht="15.75" customHeight="1" x14ac:dyDescent="0.2">
      <c r="A605" s="13">
        <v>7</v>
      </c>
      <c r="B605" s="13" t="s">
        <v>541</v>
      </c>
      <c r="F605" s="13" t="s">
        <v>3</v>
      </c>
      <c r="G605" s="251" t="str">
        <f>B754</f>
        <v>Ataque furtivo +4d6</v>
      </c>
      <c r="H605" s="13"/>
    </row>
    <row r="606" spans="1:11" ht="15.75" customHeight="1" x14ac:dyDescent="0.2">
      <c r="A606" s="13">
        <v>8</v>
      </c>
      <c r="B606" s="13" t="s">
        <v>570</v>
      </c>
    </row>
    <row r="607" spans="1:11" ht="15.75" customHeight="1" x14ac:dyDescent="0.2">
      <c r="A607" s="13">
        <v>9</v>
      </c>
      <c r="B607" s="13" t="s">
        <v>571</v>
      </c>
    </row>
    <row r="608" spans="1:11" ht="15.75" customHeight="1" x14ac:dyDescent="0.2">
      <c r="A608" s="13">
        <v>10</v>
      </c>
      <c r="B608" s="13" t="s">
        <v>572</v>
      </c>
      <c r="F608" s="460" t="s">
        <v>573</v>
      </c>
      <c r="G608" s="307"/>
      <c r="H608" s="307"/>
    </row>
    <row r="609" spans="1:11" ht="15.75" customHeight="1" x14ac:dyDescent="0.2">
      <c r="A609" s="13">
        <v>11</v>
      </c>
      <c r="B609" s="13" t="s">
        <v>574</v>
      </c>
      <c r="F609" s="13"/>
      <c r="G609" s="13"/>
      <c r="H609" s="13"/>
    </row>
    <row r="610" spans="1:11" ht="15.75" customHeight="1" x14ac:dyDescent="0.2">
      <c r="A610" s="13">
        <v>12</v>
      </c>
      <c r="B610" s="13" t="s">
        <v>213</v>
      </c>
      <c r="F610" s="13" t="s">
        <v>492</v>
      </c>
      <c r="G610" s="13" t="s">
        <v>575</v>
      </c>
      <c r="H610" s="13"/>
    </row>
    <row r="611" spans="1:11" ht="15.75" customHeight="1" x14ac:dyDescent="0.2">
      <c r="A611" s="13">
        <v>13</v>
      </c>
      <c r="B611" s="13" t="s">
        <v>576</v>
      </c>
      <c r="F611" s="13" t="s">
        <v>263</v>
      </c>
      <c r="G611" s="251" t="str">
        <f>B506</f>
        <v xml:space="preserve">Furia 3/día
</v>
      </c>
      <c r="H611" s="13"/>
    </row>
    <row r="612" spans="1:11" ht="15.75" customHeight="1" x14ac:dyDescent="0.2">
      <c r="A612" s="13">
        <v>14</v>
      </c>
      <c r="B612" s="13" t="s">
        <v>213</v>
      </c>
      <c r="F612" s="13" t="s">
        <v>264</v>
      </c>
      <c r="G612" s="251" t="str">
        <f>B531</f>
        <v>Infundir Valor +2</v>
      </c>
      <c r="H612" s="13"/>
    </row>
    <row r="613" spans="1:11" ht="15.75" customHeight="1" x14ac:dyDescent="0.2">
      <c r="A613" s="13">
        <v>15</v>
      </c>
      <c r="B613" s="13" t="s">
        <v>577</v>
      </c>
      <c r="F613" s="13" t="s">
        <v>265</v>
      </c>
      <c r="G613" s="251" t="str">
        <f>B556</f>
        <v>-</v>
      </c>
      <c r="H613" s="13"/>
    </row>
    <row r="614" spans="1:11" ht="15.75" customHeight="1" x14ac:dyDescent="0.2">
      <c r="A614" s="13">
        <v>16</v>
      </c>
      <c r="B614" s="13" t="s">
        <v>213</v>
      </c>
      <c r="F614" s="13" t="s">
        <v>266</v>
      </c>
      <c r="G614" s="251" t="str">
        <f>B581</f>
        <v>Forma salvaje Grande</v>
      </c>
      <c r="H614" s="13"/>
    </row>
    <row r="615" spans="1:11" ht="15.75" customHeight="1" x14ac:dyDescent="0.2">
      <c r="A615" s="13">
        <v>17</v>
      </c>
      <c r="B615" s="13" t="s">
        <v>578</v>
      </c>
      <c r="F615" s="13" t="s">
        <v>267</v>
      </c>
      <c r="G615" s="251" t="str">
        <f>B606</f>
        <v>Rastreador veloz</v>
      </c>
      <c r="H615" s="13"/>
    </row>
    <row r="616" spans="1:11" ht="15.75" customHeight="1" x14ac:dyDescent="0.2">
      <c r="A616" s="13">
        <v>18</v>
      </c>
      <c r="B616" s="13" t="s">
        <v>213</v>
      </c>
      <c r="F616" s="13" t="s">
        <v>268</v>
      </c>
      <c r="G616" s="251" t="str">
        <f>B630</f>
        <v>Dote adicional</v>
      </c>
      <c r="H616" s="13"/>
    </row>
    <row r="617" spans="1:11" ht="15.75" customHeight="1" x14ac:dyDescent="0.2">
      <c r="A617" s="13">
        <v>19</v>
      </c>
      <c r="B617" s="13" t="s">
        <v>213</v>
      </c>
      <c r="F617" s="13" t="s">
        <v>269</v>
      </c>
      <c r="G617" s="251" t="str">
        <f>B655</f>
        <v>-</v>
      </c>
      <c r="H617" s="13"/>
    </row>
    <row r="618" spans="1:11" ht="15.75" customHeight="1" x14ac:dyDescent="0.2">
      <c r="A618" s="13">
        <v>20</v>
      </c>
      <c r="B618" s="13" t="s">
        <v>579</v>
      </c>
      <c r="F618" s="13" t="s">
        <v>270</v>
      </c>
      <c r="G618" s="251" t="str">
        <f>B680</f>
        <v>-</v>
      </c>
      <c r="H618" s="13"/>
    </row>
    <row r="619" spans="1:11" ht="15.75" customHeight="1" x14ac:dyDescent="0.2">
      <c r="F619" s="13" t="s">
        <v>271</v>
      </c>
      <c r="G619" s="251" t="str">
        <f>B705</f>
        <v>Ralentizar caída 40'</v>
      </c>
      <c r="H619" s="13"/>
    </row>
    <row r="620" spans="1:11" ht="15.75" customHeight="1" x14ac:dyDescent="0.2">
      <c r="A620" s="466" t="s">
        <v>580</v>
      </c>
      <c r="B620" s="307"/>
      <c r="C620" s="307"/>
      <c r="D620" s="256"/>
      <c r="E620" s="256"/>
      <c r="F620" s="13" t="s">
        <v>272</v>
      </c>
      <c r="G620" s="251" t="str">
        <f>B730</f>
        <v>-</v>
      </c>
      <c r="H620" s="13"/>
      <c r="I620" s="256"/>
      <c r="J620" s="256"/>
      <c r="K620" s="256"/>
    </row>
    <row r="621" spans="1:11" ht="15.75" customHeight="1" x14ac:dyDescent="0.2">
      <c r="F621" s="13" t="s">
        <v>3</v>
      </c>
      <c r="G621" s="251" t="str">
        <f>B755</f>
        <v>Esquiva asombrosa mejorada</v>
      </c>
      <c r="H621" s="13"/>
    </row>
    <row r="622" spans="1:11" ht="15.75" customHeight="1" x14ac:dyDescent="0.2">
      <c r="A622" s="13" t="s">
        <v>490</v>
      </c>
      <c r="B622" s="13" t="s">
        <v>581</v>
      </c>
    </row>
    <row r="623" spans="1:11" ht="15.75" customHeight="1" x14ac:dyDescent="0.2">
      <c r="A623" s="112">
        <v>1</v>
      </c>
      <c r="B623" s="13" t="s">
        <v>582</v>
      </c>
    </row>
    <row r="624" spans="1:11" ht="15.75" customHeight="1" x14ac:dyDescent="0.2">
      <c r="A624" s="112">
        <v>2</v>
      </c>
      <c r="B624" s="13" t="s">
        <v>582</v>
      </c>
      <c r="F624" s="460" t="s">
        <v>583</v>
      </c>
      <c r="G624" s="307"/>
      <c r="H624" s="307"/>
    </row>
    <row r="625" spans="1:8" ht="15.75" customHeight="1" x14ac:dyDescent="0.2">
      <c r="A625" s="13">
        <v>3</v>
      </c>
      <c r="B625" s="13" t="s">
        <v>213</v>
      </c>
      <c r="F625" s="13"/>
      <c r="G625" s="13"/>
      <c r="H625" s="13"/>
    </row>
    <row r="626" spans="1:8" ht="15.75" customHeight="1" x14ac:dyDescent="0.2">
      <c r="A626" s="13">
        <v>4</v>
      </c>
      <c r="B626" s="13" t="s">
        <v>582</v>
      </c>
      <c r="F626" s="13" t="s">
        <v>492</v>
      </c>
      <c r="G626" s="13" t="s">
        <v>584</v>
      </c>
      <c r="H626" s="13"/>
    </row>
    <row r="627" spans="1:8" ht="15.75" customHeight="1" x14ac:dyDescent="0.2">
      <c r="A627" s="13">
        <v>5</v>
      </c>
      <c r="B627" s="13" t="s">
        <v>213</v>
      </c>
      <c r="F627" s="13" t="s">
        <v>263</v>
      </c>
      <c r="G627" s="251" t="str">
        <f>B507</f>
        <v xml:space="preserve">Armas Brutales 2 incr.
</v>
      </c>
      <c r="H627" s="13"/>
    </row>
    <row r="628" spans="1:8" ht="15.75" customHeight="1" x14ac:dyDescent="0.2">
      <c r="A628" s="13">
        <v>6</v>
      </c>
      <c r="B628" s="13" t="s">
        <v>582</v>
      </c>
      <c r="F628" s="13" t="s">
        <v>264</v>
      </c>
      <c r="G628" s="251" t="str">
        <f>B532</f>
        <v>Infundir Grandeza</v>
      </c>
      <c r="H628" s="13"/>
    </row>
    <row r="629" spans="1:8" ht="15.75" customHeight="1" x14ac:dyDescent="0.2">
      <c r="A629" s="13">
        <v>7</v>
      </c>
      <c r="B629" s="13" t="s">
        <v>213</v>
      </c>
      <c r="F629" s="13" t="s">
        <v>265</v>
      </c>
      <c r="G629" s="251" t="str">
        <f>B557</f>
        <v>-</v>
      </c>
      <c r="H629" s="13"/>
    </row>
    <row r="630" spans="1:8" ht="15.75" customHeight="1" x14ac:dyDescent="0.2">
      <c r="A630" s="13">
        <v>8</v>
      </c>
      <c r="B630" s="13" t="s">
        <v>582</v>
      </c>
      <c r="F630" s="13" t="s">
        <v>266</v>
      </c>
      <c r="G630" s="251" t="str">
        <f>B582</f>
        <v>Inmunidad al veneno</v>
      </c>
      <c r="H630" s="13"/>
    </row>
    <row r="631" spans="1:8" ht="15.75" customHeight="1" x14ac:dyDescent="0.2">
      <c r="A631" s="13">
        <v>9</v>
      </c>
      <c r="B631" s="13" t="s">
        <v>213</v>
      </c>
      <c r="F631" s="13" t="s">
        <v>267</v>
      </c>
      <c r="G631" s="251" t="str">
        <f>B607</f>
        <v>Evasión</v>
      </c>
      <c r="H631" s="13"/>
    </row>
    <row r="632" spans="1:8" ht="15.75" customHeight="1" x14ac:dyDescent="0.2">
      <c r="A632" s="13">
        <v>10</v>
      </c>
      <c r="B632" s="13" t="s">
        <v>582</v>
      </c>
      <c r="F632" s="13" t="s">
        <v>268</v>
      </c>
      <c r="G632" s="251" t="str">
        <f>B631</f>
        <v>-</v>
      </c>
      <c r="H632" s="13"/>
    </row>
    <row r="633" spans="1:8" ht="15.75" customHeight="1" x14ac:dyDescent="0.2">
      <c r="A633" s="13">
        <v>11</v>
      </c>
      <c r="B633" s="13" t="s">
        <v>213</v>
      </c>
      <c r="F633" s="13" t="s">
        <v>269</v>
      </c>
      <c r="G633" s="251" t="str">
        <f>B656</f>
        <v>-</v>
      </c>
      <c r="H633" s="13"/>
    </row>
    <row r="634" spans="1:8" ht="15.75" customHeight="1" x14ac:dyDescent="0.2">
      <c r="A634" s="13">
        <v>12</v>
      </c>
      <c r="B634" s="13" t="s">
        <v>582</v>
      </c>
      <c r="F634" s="13" t="s">
        <v>270</v>
      </c>
      <c r="G634" s="251" t="str">
        <f>B681</f>
        <v>-</v>
      </c>
      <c r="H634" s="13"/>
    </row>
    <row r="635" spans="1:8" ht="15.75" customHeight="1" x14ac:dyDescent="0.2">
      <c r="A635" s="13">
        <v>13</v>
      </c>
      <c r="B635" s="13" t="s">
        <v>213</v>
      </c>
      <c r="F635" s="13" t="s">
        <v>271</v>
      </c>
      <c r="G635" s="251" t="str">
        <f>B706</f>
        <v>Evasión mejorada</v>
      </c>
      <c r="H635" s="13"/>
    </row>
    <row r="636" spans="1:8" ht="15.75" customHeight="1" x14ac:dyDescent="0.2">
      <c r="A636" s="13">
        <v>14</v>
      </c>
      <c r="B636" s="13" t="s">
        <v>582</v>
      </c>
      <c r="F636" s="13" t="s">
        <v>272</v>
      </c>
      <c r="G636" s="251" t="str">
        <f>B731</f>
        <v>Quitar enfermedad 2/semana</v>
      </c>
      <c r="H636" s="13"/>
    </row>
    <row r="637" spans="1:8" ht="15.75" customHeight="1" x14ac:dyDescent="0.2">
      <c r="A637" s="13">
        <v>15</v>
      </c>
      <c r="B637" s="13" t="s">
        <v>213</v>
      </c>
      <c r="F637" s="13" t="s">
        <v>3</v>
      </c>
      <c r="G637" s="251" t="str">
        <f>B756</f>
        <v>Ataque furtivo +5d6, Sentido de las trampas +3</v>
      </c>
      <c r="H637" s="13"/>
    </row>
    <row r="638" spans="1:8" ht="15.75" customHeight="1" x14ac:dyDescent="0.2">
      <c r="A638" s="13">
        <v>16</v>
      </c>
      <c r="B638" s="13" t="s">
        <v>582</v>
      </c>
    </row>
    <row r="639" spans="1:8" ht="15.75" customHeight="1" x14ac:dyDescent="0.2">
      <c r="A639" s="13">
        <v>17</v>
      </c>
      <c r="B639" s="13" t="s">
        <v>213</v>
      </c>
    </row>
    <row r="640" spans="1:8" ht="15.75" customHeight="1" x14ac:dyDescent="0.2">
      <c r="A640" s="13">
        <v>18</v>
      </c>
      <c r="B640" s="13" t="s">
        <v>582</v>
      </c>
      <c r="F640" s="460" t="s">
        <v>585</v>
      </c>
      <c r="G640" s="307"/>
      <c r="H640" s="307"/>
    </row>
    <row r="641" spans="1:11" ht="15.75" customHeight="1" x14ac:dyDescent="0.2">
      <c r="A641" s="13">
        <v>19</v>
      </c>
      <c r="B641" s="13" t="s">
        <v>213</v>
      </c>
      <c r="F641" s="13"/>
      <c r="G641" s="13"/>
      <c r="H641" s="13"/>
    </row>
    <row r="642" spans="1:11" ht="15.75" customHeight="1" x14ac:dyDescent="0.2">
      <c r="A642" s="13">
        <v>20</v>
      </c>
      <c r="B642" s="13" t="s">
        <v>582</v>
      </c>
      <c r="F642" s="13" t="s">
        <v>492</v>
      </c>
      <c r="G642" s="13" t="s">
        <v>586</v>
      </c>
      <c r="H642" s="13"/>
    </row>
    <row r="643" spans="1:11" ht="15.75" customHeight="1" x14ac:dyDescent="0.2">
      <c r="F643" s="13" t="s">
        <v>263</v>
      </c>
      <c r="G643" s="251" t="str">
        <f>B508</f>
        <v xml:space="preserve">RD 2/-, Curación rápida 10, Movimiento de combate +20'
</v>
      </c>
      <c r="H643" s="13"/>
    </row>
    <row r="644" spans="1:11" ht="15.75" customHeight="1" x14ac:dyDescent="0.2">
      <c r="F644" s="13" t="s">
        <v>264</v>
      </c>
      <c r="G644" s="251" t="str">
        <f>B533</f>
        <v>-</v>
      </c>
      <c r="H644" s="13"/>
    </row>
    <row r="645" spans="1:11" ht="15.75" customHeight="1" x14ac:dyDescent="0.2">
      <c r="A645" s="461" t="s">
        <v>587</v>
      </c>
      <c r="B645" s="307"/>
      <c r="C645" s="307"/>
      <c r="D645" s="254"/>
      <c r="E645" s="254"/>
      <c r="F645" s="13" t="s">
        <v>265</v>
      </c>
      <c r="G645" s="251" t="str">
        <f>B558</f>
        <v>-</v>
      </c>
      <c r="H645" s="13"/>
      <c r="I645" s="254"/>
      <c r="J645" s="254"/>
      <c r="K645" s="254"/>
    </row>
    <row r="646" spans="1:11" ht="15.75" customHeight="1" x14ac:dyDescent="0.2">
      <c r="F646" s="13" t="s">
        <v>266</v>
      </c>
      <c r="G646" s="251" t="str">
        <f>B583</f>
        <v>Forma salvaje 4/día</v>
      </c>
      <c r="H646" s="13"/>
    </row>
    <row r="647" spans="1:11" ht="15.75" customHeight="1" x14ac:dyDescent="0.2">
      <c r="A647" s="257" t="s">
        <v>490</v>
      </c>
      <c r="B647" s="257" t="s">
        <v>587</v>
      </c>
      <c r="F647" s="13" t="s">
        <v>267</v>
      </c>
      <c r="G647" s="251" t="str">
        <f>B608</f>
        <v>3º Enemigo predilecto</v>
      </c>
      <c r="H647" s="13"/>
    </row>
    <row r="648" spans="1:11" ht="15.75" customHeight="1" x14ac:dyDescent="0.2">
      <c r="A648" s="258">
        <v>1</v>
      </c>
      <c r="B648" s="258" t="s">
        <v>588</v>
      </c>
      <c r="F648" s="13" t="s">
        <v>268</v>
      </c>
      <c r="G648" s="251" t="str">
        <f>B632</f>
        <v>Dote adicional</v>
      </c>
      <c r="H648" s="13"/>
    </row>
    <row r="649" spans="1:11" ht="15.75" customHeight="1" x14ac:dyDescent="0.2">
      <c r="A649" s="112">
        <v>2</v>
      </c>
      <c r="B649" s="13" t="s">
        <v>213</v>
      </c>
      <c r="F649" s="13" t="s">
        <v>269</v>
      </c>
      <c r="G649" s="251" t="str">
        <f>B657</f>
        <v>-</v>
      </c>
      <c r="H649" s="13"/>
    </row>
    <row r="650" spans="1:11" ht="15.75" customHeight="1" x14ac:dyDescent="0.2">
      <c r="A650" s="258">
        <v>3</v>
      </c>
      <c r="B650" s="258" t="s">
        <v>213</v>
      </c>
      <c r="F650" s="13" t="s">
        <v>270</v>
      </c>
      <c r="G650" s="251" t="str">
        <f>B682</f>
        <v>Dote adicional</v>
      </c>
      <c r="H650" s="13"/>
    </row>
    <row r="651" spans="1:11" ht="15.75" customHeight="1" x14ac:dyDescent="0.2">
      <c r="A651" s="13">
        <v>4</v>
      </c>
      <c r="B651" s="13" t="s">
        <v>213</v>
      </c>
      <c r="F651" s="13" t="s">
        <v>271</v>
      </c>
      <c r="G651" s="251" t="str">
        <f>B707</f>
        <v>Impacto ki (legal), ralentizar caída 50'</v>
      </c>
      <c r="H651" s="13"/>
    </row>
    <row r="652" spans="1:11" ht="15.75" customHeight="1" x14ac:dyDescent="0.2">
      <c r="A652" s="258">
        <v>5</v>
      </c>
      <c r="B652" s="258" t="s">
        <v>213</v>
      </c>
      <c r="F652" s="13" t="s">
        <v>272</v>
      </c>
      <c r="G652" s="251" t="str">
        <f>B732</f>
        <v>Castigar al mal 3/día</v>
      </c>
      <c r="H652" s="13"/>
    </row>
    <row r="653" spans="1:11" ht="15.75" customHeight="1" x14ac:dyDescent="0.2">
      <c r="A653" s="13">
        <v>6</v>
      </c>
      <c r="B653" s="13" t="s">
        <v>213</v>
      </c>
      <c r="F653" s="13" t="s">
        <v>3</v>
      </c>
      <c r="G653" s="251" t="str">
        <f>B757</f>
        <v>Aptitud especial</v>
      </c>
      <c r="H653" s="13"/>
    </row>
    <row r="654" spans="1:11" ht="15.75" customHeight="1" x14ac:dyDescent="0.2">
      <c r="A654" s="258">
        <v>7</v>
      </c>
      <c r="B654" s="258" t="s">
        <v>213</v>
      </c>
    </row>
    <row r="655" spans="1:11" ht="15.75" customHeight="1" x14ac:dyDescent="0.2">
      <c r="A655" s="13">
        <v>8</v>
      </c>
      <c r="B655" s="13" t="s">
        <v>213</v>
      </c>
    </row>
    <row r="656" spans="1:11" ht="15.75" customHeight="1" x14ac:dyDescent="0.2">
      <c r="A656" s="258">
        <v>9</v>
      </c>
      <c r="B656" s="258" t="s">
        <v>213</v>
      </c>
      <c r="F656" s="460" t="s">
        <v>589</v>
      </c>
      <c r="G656" s="307"/>
      <c r="H656" s="307"/>
    </row>
    <row r="657" spans="1:11" ht="15.75" customHeight="1" x14ac:dyDescent="0.2">
      <c r="A657" s="13">
        <v>10</v>
      </c>
      <c r="B657" s="13" t="s">
        <v>213</v>
      </c>
      <c r="F657" s="13"/>
      <c r="G657" s="13"/>
      <c r="H657" s="13"/>
    </row>
    <row r="658" spans="1:11" ht="15.75" customHeight="1" x14ac:dyDescent="0.2">
      <c r="A658" s="258">
        <v>11</v>
      </c>
      <c r="B658" s="258" t="s">
        <v>213</v>
      </c>
      <c r="F658" s="13" t="s">
        <v>492</v>
      </c>
      <c r="G658" s="13" t="s">
        <v>590</v>
      </c>
      <c r="H658" s="13"/>
    </row>
    <row r="659" spans="1:11" ht="15.75" customHeight="1" x14ac:dyDescent="0.2">
      <c r="A659" s="13">
        <v>12</v>
      </c>
      <c r="B659" s="13" t="s">
        <v>213</v>
      </c>
      <c r="F659" s="13" t="s">
        <v>263</v>
      </c>
      <c r="G659" s="251" t="str">
        <f>B509</f>
        <v xml:space="preserve">Furia Mayor.
</v>
      </c>
      <c r="H659" s="13"/>
    </row>
    <row r="660" spans="1:11" ht="15.75" customHeight="1" x14ac:dyDescent="0.2">
      <c r="A660" s="258">
        <v>13</v>
      </c>
      <c r="B660" s="258" t="s">
        <v>213</v>
      </c>
      <c r="F660" s="13" t="s">
        <v>264</v>
      </c>
      <c r="G660" s="251" t="str">
        <f>B534</f>
        <v>-</v>
      </c>
      <c r="H660" s="13"/>
    </row>
    <row r="661" spans="1:11" ht="15.75" customHeight="1" x14ac:dyDescent="0.2">
      <c r="A661" s="13">
        <v>14</v>
      </c>
      <c r="B661" s="13" t="s">
        <v>213</v>
      </c>
      <c r="F661" s="13" t="s">
        <v>265</v>
      </c>
      <c r="G661" s="251" t="str">
        <f>B559</f>
        <v>-</v>
      </c>
      <c r="H661" s="13"/>
    </row>
    <row r="662" spans="1:11" ht="15.75" customHeight="1" x14ac:dyDescent="0.2">
      <c r="A662" s="258">
        <v>15</v>
      </c>
      <c r="B662" s="258" t="s">
        <v>213</v>
      </c>
      <c r="F662" s="13" t="s">
        <v>266</v>
      </c>
      <c r="G662" s="251" t="str">
        <f>B584</f>
        <v>Forma salvaje Menuda</v>
      </c>
      <c r="H662" s="13"/>
    </row>
    <row r="663" spans="1:11" ht="15.75" customHeight="1" x14ac:dyDescent="0.2">
      <c r="A663" s="13">
        <v>16</v>
      </c>
      <c r="B663" s="13" t="s">
        <v>213</v>
      </c>
      <c r="F663" s="13" t="s">
        <v>267</v>
      </c>
      <c r="G663" s="251" t="str">
        <f>B609</f>
        <v>Maestría con el estilo de combate</v>
      </c>
      <c r="H663" s="13"/>
    </row>
    <row r="664" spans="1:11" ht="15.75" customHeight="1" x14ac:dyDescent="0.2">
      <c r="A664" s="258">
        <v>17</v>
      </c>
      <c r="B664" s="258" t="s">
        <v>213</v>
      </c>
      <c r="F664" s="13" t="s">
        <v>268</v>
      </c>
      <c r="G664" s="251" t="str">
        <f>B633</f>
        <v>-</v>
      </c>
      <c r="H664" s="13"/>
    </row>
    <row r="665" spans="1:11" ht="15.75" customHeight="1" x14ac:dyDescent="0.2">
      <c r="A665" s="13">
        <v>18</v>
      </c>
      <c r="B665" s="13" t="s">
        <v>213</v>
      </c>
      <c r="F665" s="13" t="s">
        <v>269</v>
      </c>
      <c r="G665" s="251" t="str">
        <f>B658</f>
        <v>-</v>
      </c>
      <c r="H665" s="13"/>
    </row>
    <row r="666" spans="1:11" ht="15.75" customHeight="1" x14ac:dyDescent="0.2">
      <c r="A666" s="258">
        <v>19</v>
      </c>
      <c r="B666" s="258" t="s">
        <v>213</v>
      </c>
      <c r="F666" s="13" t="s">
        <v>270</v>
      </c>
      <c r="G666" s="251" t="str">
        <f>B683</f>
        <v>-</v>
      </c>
      <c r="H666" s="13"/>
    </row>
    <row r="667" spans="1:11" ht="15.75" customHeight="1" x14ac:dyDescent="0.2">
      <c r="A667" s="13">
        <v>20</v>
      </c>
      <c r="B667" s="13" t="s">
        <v>213</v>
      </c>
      <c r="F667" s="13" t="s">
        <v>271</v>
      </c>
      <c r="G667" s="251" t="str">
        <f>B708</f>
        <v>Cuerpo diamantino, ráfaga mayor</v>
      </c>
      <c r="H667" s="13"/>
    </row>
    <row r="668" spans="1:11" ht="15.75" customHeight="1" x14ac:dyDescent="0.2">
      <c r="F668" s="13" t="s">
        <v>272</v>
      </c>
      <c r="G668" s="251" t="str">
        <f>B733</f>
        <v>-</v>
      </c>
      <c r="H668" s="13"/>
    </row>
    <row r="669" spans="1:11" ht="15.75" customHeight="1" x14ac:dyDescent="0.2">
      <c r="F669" s="13" t="s">
        <v>3</v>
      </c>
      <c r="G669" s="251" t="str">
        <f>B758</f>
        <v>Ataque furtivo +6d6</v>
      </c>
      <c r="H669" s="13"/>
    </row>
    <row r="670" spans="1:11" ht="15.75" customHeight="1" x14ac:dyDescent="0.2">
      <c r="A670" s="462" t="s">
        <v>591</v>
      </c>
      <c r="B670" s="307"/>
      <c r="C670" s="307"/>
      <c r="D670" s="259"/>
      <c r="E670" s="259"/>
      <c r="F670" s="259"/>
      <c r="G670" s="259"/>
      <c r="H670" s="259"/>
      <c r="I670" s="259"/>
      <c r="J670" s="259"/>
      <c r="K670" s="259"/>
    </row>
    <row r="671" spans="1:11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1:11" ht="15.75" customHeight="1" x14ac:dyDescent="0.2">
      <c r="A672" s="260" t="s">
        <v>490</v>
      </c>
      <c r="B672" s="260" t="s">
        <v>591</v>
      </c>
      <c r="C672" s="13"/>
      <c r="D672" s="13"/>
      <c r="E672" s="13"/>
      <c r="F672" s="460" t="s">
        <v>592</v>
      </c>
      <c r="G672" s="307"/>
      <c r="H672" s="307"/>
      <c r="I672" s="13"/>
      <c r="J672" s="13"/>
      <c r="K672" s="13"/>
    </row>
    <row r="673" spans="1:11" ht="15.75" customHeight="1" x14ac:dyDescent="0.2">
      <c r="A673" s="261">
        <v>1</v>
      </c>
      <c r="B673" s="261" t="s">
        <v>593</v>
      </c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1:11" ht="15.75" customHeight="1" x14ac:dyDescent="0.2">
      <c r="A674" s="13">
        <v>2</v>
      </c>
      <c r="B674" s="13" t="s">
        <v>213</v>
      </c>
      <c r="C674" s="13"/>
      <c r="D674" s="13"/>
      <c r="E674" s="13"/>
      <c r="F674" s="13" t="s">
        <v>492</v>
      </c>
      <c r="G674" s="13" t="s">
        <v>594</v>
      </c>
      <c r="H674" s="13"/>
      <c r="I674" s="13"/>
      <c r="J674" s="13"/>
      <c r="K674" s="13"/>
    </row>
    <row r="675" spans="1:11" ht="15.75" customHeight="1" x14ac:dyDescent="0.2">
      <c r="A675" s="261">
        <v>3</v>
      </c>
      <c r="B675" s="261" t="s">
        <v>213</v>
      </c>
      <c r="C675" s="13"/>
      <c r="D675" s="13"/>
      <c r="E675" s="13"/>
      <c r="F675" s="13" t="s">
        <v>263</v>
      </c>
      <c r="G675" s="251" t="str">
        <f>B510</f>
        <v>Furia 4/día</v>
      </c>
      <c r="H675" s="13"/>
      <c r="I675" s="13"/>
      <c r="J675" s="13"/>
      <c r="K675" s="13"/>
    </row>
    <row r="676" spans="1:11" ht="15.75" customHeight="1" x14ac:dyDescent="0.2">
      <c r="A676" s="13">
        <v>4</v>
      </c>
      <c r="B676" s="13" t="s">
        <v>213</v>
      </c>
      <c r="C676" s="13"/>
      <c r="D676" s="13"/>
      <c r="E676" s="13"/>
      <c r="F676" s="13" t="s">
        <v>264</v>
      </c>
      <c r="G676" s="251" t="str">
        <f>B535</f>
        <v>Canción de libertad</v>
      </c>
      <c r="H676" s="13"/>
      <c r="I676" s="13"/>
      <c r="J676" s="13"/>
      <c r="K676" s="13"/>
    </row>
    <row r="677" spans="1:11" ht="15.75" customHeight="1" x14ac:dyDescent="0.2">
      <c r="A677" s="261">
        <v>5</v>
      </c>
      <c r="B677" s="261" t="s">
        <v>582</v>
      </c>
      <c r="C677" s="13"/>
      <c r="D677" s="13"/>
      <c r="E677" s="13"/>
      <c r="F677" s="13" t="s">
        <v>265</v>
      </c>
      <c r="G677" s="251" t="str">
        <f>B560</f>
        <v>-</v>
      </c>
      <c r="H677" s="13"/>
      <c r="I677" s="13"/>
      <c r="J677" s="13"/>
      <c r="K677" s="13"/>
    </row>
    <row r="678" spans="1:11" ht="15.75" customHeight="1" x14ac:dyDescent="0.2">
      <c r="A678" s="13">
        <v>6</v>
      </c>
      <c r="B678" s="13" t="s">
        <v>213</v>
      </c>
      <c r="C678" s="13"/>
      <c r="D678" s="13"/>
      <c r="E678" s="13"/>
      <c r="F678" s="13" t="s">
        <v>266</v>
      </c>
      <c r="G678" s="251" t="str">
        <f>B685</f>
        <v>-</v>
      </c>
      <c r="H678" s="13"/>
      <c r="I678" s="13"/>
      <c r="J678" s="13"/>
      <c r="K678" s="13"/>
    </row>
    <row r="679" spans="1:11" ht="15.75" customHeight="1" x14ac:dyDescent="0.2">
      <c r="A679" s="261">
        <v>7</v>
      </c>
      <c r="B679" s="261" t="s">
        <v>213</v>
      </c>
      <c r="C679" s="13"/>
      <c r="D679" s="13"/>
      <c r="E679" s="13"/>
      <c r="F679" s="13" t="s">
        <v>267</v>
      </c>
      <c r="G679" s="251" t="str">
        <f>B610</f>
        <v>-</v>
      </c>
      <c r="H679" s="13"/>
      <c r="I679" s="13"/>
      <c r="J679" s="13"/>
      <c r="K679" s="13"/>
    </row>
    <row r="680" spans="1:11" ht="15.75" customHeight="1" x14ac:dyDescent="0.2">
      <c r="A680" s="13">
        <v>8</v>
      </c>
      <c r="B680" s="13" t="s">
        <v>213</v>
      </c>
      <c r="C680" s="13"/>
      <c r="D680" s="13"/>
      <c r="E680" s="13"/>
      <c r="F680" s="13" t="s">
        <v>268</v>
      </c>
      <c r="G680" s="251" t="str">
        <f>B634</f>
        <v>Dote adicional</v>
      </c>
      <c r="H680" s="13"/>
      <c r="I680" s="13"/>
      <c r="J680" s="13"/>
      <c r="K680" s="13"/>
    </row>
    <row r="681" spans="1:11" ht="15.75" customHeight="1" x14ac:dyDescent="0.2">
      <c r="A681" s="261">
        <v>9</v>
      </c>
      <c r="B681" s="261" t="s">
        <v>213</v>
      </c>
      <c r="C681" s="13"/>
      <c r="D681" s="13"/>
      <c r="E681" s="13"/>
      <c r="F681" s="13" t="s">
        <v>269</v>
      </c>
      <c r="G681" s="251" t="str">
        <f>B659</f>
        <v>-</v>
      </c>
      <c r="H681" s="13"/>
      <c r="I681" s="13"/>
      <c r="J681" s="13"/>
      <c r="K681" s="13"/>
    </row>
    <row r="682" spans="1:11" ht="15.75" customHeight="1" x14ac:dyDescent="0.2">
      <c r="A682" s="13">
        <v>10</v>
      </c>
      <c r="B682" s="13" t="s">
        <v>582</v>
      </c>
      <c r="C682" s="13"/>
      <c r="D682" s="13"/>
      <c r="E682" s="13"/>
      <c r="F682" s="13" t="s">
        <v>270</v>
      </c>
      <c r="G682" s="251" t="str">
        <f>B684</f>
        <v>-</v>
      </c>
      <c r="H682" s="13"/>
      <c r="I682" s="13"/>
      <c r="J682" s="13"/>
      <c r="K682" s="13"/>
    </row>
    <row r="683" spans="1:11" ht="15.75" customHeight="1" x14ac:dyDescent="0.2">
      <c r="A683" s="261">
        <v>11</v>
      </c>
      <c r="B683" s="261" t="s">
        <v>213</v>
      </c>
      <c r="C683" s="13"/>
      <c r="D683" s="13"/>
      <c r="E683" s="13"/>
      <c r="F683" s="13" t="s">
        <v>271</v>
      </c>
      <c r="G683" s="251" t="str">
        <f>B709</f>
        <v>Paso abundante, ralentizar caída 60'</v>
      </c>
      <c r="H683" s="13"/>
      <c r="I683" s="13"/>
      <c r="J683" s="13"/>
      <c r="K683" s="13"/>
    </row>
    <row r="684" spans="1:11" ht="15.75" customHeight="1" x14ac:dyDescent="0.2">
      <c r="A684" s="13">
        <v>12</v>
      </c>
      <c r="B684" s="13" t="s">
        <v>213</v>
      </c>
      <c r="C684" s="13"/>
      <c r="D684" s="13"/>
      <c r="E684" s="13"/>
      <c r="F684" s="13" t="s">
        <v>272</v>
      </c>
      <c r="G684" s="251" t="str">
        <f>B734</f>
        <v>Quitar enfermedad 3/semana</v>
      </c>
      <c r="H684" s="13"/>
      <c r="I684" s="13"/>
      <c r="J684" s="13"/>
      <c r="K684" s="13"/>
    </row>
    <row r="685" spans="1:11" ht="15.75" customHeight="1" x14ac:dyDescent="0.2">
      <c r="A685" s="261">
        <v>13</v>
      </c>
      <c r="B685" s="261" t="s">
        <v>213</v>
      </c>
      <c r="C685" s="13"/>
      <c r="D685" s="13"/>
      <c r="E685" s="13"/>
      <c r="F685" s="13" t="s">
        <v>3</v>
      </c>
      <c r="G685" s="251" t="str">
        <f>B759</f>
        <v>Sentido de las trampas +4</v>
      </c>
      <c r="H685" s="13"/>
      <c r="I685" s="13"/>
      <c r="J685" s="13"/>
      <c r="K685" s="13"/>
    </row>
    <row r="686" spans="1:11" ht="15.75" customHeight="1" x14ac:dyDescent="0.2">
      <c r="A686" s="13">
        <v>14</v>
      </c>
      <c r="B686" s="13" t="s">
        <v>213</v>
      </c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1:11" ht="15.75" customHeight="1" x14ac:dyDescent="0.2">
      <c r="A687" s="261">
        <v>15</v>
      </c>
      <c r="B687" s="261" t="s">
        <v>582</v>
      </c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1:11" ht="15.75" customHeight="1" x14ac:dyDescent="0.2">
      <c r="A688" s="13">
        <v>16</v>
      </c>
      <c r="B688" s="13" t="s">
        <v>213</v>
      </c>
      <c r="C688" s="13"/>
      <c r="D688" s="13"/>
      <c r="E688" s="13"/>
      <c r="F688" s="460" t="s">
        <v>595</v>
      </c>
      <c r="G688" s="307"/>
      <c r="H688" s="307"/>
      <c r="I688" s="13"/>
      <c r="J688" s="13"/>
      <c r="K688" s="13"/>
    </row>
    <row r="689" spans="1:11" ht="15.75" customHeight="1" x14ac:dyDescent="0.2">
      <c r="A689" s="261">
        <v>17</v>
      </c>
      <c r="B689" s="261" t="s">
        <v>213</v>
      </c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1:11" ht="15.75" customHeight="1" x14ac:dyDescent="0.2">
      <c r="A690" s="13">
        <v>18</v>
      </c>
      <c r="B690" s="13" t="s">
        <v>213</v>
      </c>
      <c r="C690" s="13"/>
      <c r="D690" s="13"/>
      <c r="E690" s="13"/>
      <c r="F690" s="13" t="s">
        <v>492</v>
      </c>
      <c r="G690" s="13" t="s">
        <v>596</v>
      </c>
      <c r="H690" s="13"/>
      <c r="I690" s="13"/>
      <c r="J690" s="13"/>
      <c r="K690" s="13"/>
    </row>
    <row r="691" spans="1:11" ht="15.75" customHeight="1" x14ac:dyDescent="0.2">
      <c r="A691" s="261">
        <v>19</v>
      </c>
      <c r="B691" s="261" t="s">
        <v>213</v>
      </c>
      <c r="C691" s="13"/>
      <c r="D691" s="13"/>
      <c r="E691" s="13"/>
      <c r="F691" s="13" t="s">
        <v>263</v>
      </c>
      <c r="G691" s="251" t="str">
        <f>B511</f>
        <v>RD 3/-, Movimiento de combate +25'</v>
      </c>
      <c r="H691" s="13"/>
      <c r="I691" s="13"/>
      <c r="J691" s="13"/>
      <c r="K691" s="13"/>
    </row>
    <row r="692" spans="1:11" ht="15.75" customHeight="1" x14ac:dyDescent="0.2">
      <c r="A692" s="13">
        <v>20</v>
      </c>
      <c r="B692" s="13" t="s">
        <v>582</v>
      </c>
      <c r="C692" s="13"/>
      <c r="D692" s="13"/>
      <c r="E692" s="13"/>
      <c r="F692" s="13" t="s">
        <v>264</v>
      </c>
      <c r="G692" s="251" t="str">
        <f>B536</f>
        <v>-</v>
      </c>
      <c r="H692" s="13"/>
      <c r="I692" s="13"/>
      <c r="J692" s="13"/>
      <c r="K692" s="13"/>
    </row>
    <row r="693" spans="1:11" ht="15.75" customHeight="1" x14ac:dyDescent="0.2">
      <c r="F693" s="13" t="s">
        <v>265</v>
      </c>
      <c r="G693" s="251" t="str">
        <f>B561</f>
        <v>-</v>
      </c>
      <c r="H693" s="13"/>
    </row>
    <row r="694" spans="1:11" ht="15.75" customHeight="1" x14ac:dyDescent="0.2">
      <c r="F694" s="13" t="s">
        <v>266</v>
      </c>
      <c r="G694" s="251" t="str">
        <f>B586</f>
        <v>Las mil caras</v>
      </c>
      <c r="H694" s="13"/>
    </row>
    <row r="695" spans="1:11" ht="15.75" customHeight="1" x14ac:dyDescent="0.2">
      <c r="A695" s="463" t="s">
        <v>597</v>
      </c>
      <c r="B695" s="307"/>
      <c r="C695" s="307"/>
      <c r="D695" s="259"/>
      <c r="E695" s="259"/>
      <c r="F695" s="13" t="s">
        <v>267</v>
      </c>
      <c r="G695" s="251" t="str">
        <f>B611</f>
        <v>Camuflaje</v>
      </c>
      <c r="H695" s="13"/>
      <c r="I695" s="259"/>
      <c r="J695" s="259"/>
      <c r="K695" s="259"/>
    </row>
    <row r="696" spans="1:11" ht="15.75" customHeight="1" x14ac:dyDescent="0.2">
      <c r="A696" s="13"/>
      <c r="B696" s="13"/>
      <c r="C696" s="13"/>
      <c r="D696" s="13"/>
      <c r="E696" s="13"/>
      <c r="F696" s="13" t="s">
        <v>268</v>
      </c>
      <c r="G696" s="251" t="str">
        <f>B635</f>
        <v>-</v>
      </c>
      <c r="H696" s="13"/>
      <c r="I696" s="13"/>
      <c r="J696" s="13"/>
      <c r="K696" s="13"/>
    </row>
    <row r="697" spans="1:11" ht="15.75" customHeight="1" x14ac:dyDescent="0.2">
      <c r="A697" s="262" t="s">
        <v>490</v>
      </c>
      <c r="B697" s="262" t="s">
        <v>597</v>
      </c>
      <c r="C697" s="13"/>
      <c r="D697" s="13"/>
      <c r="E697" s="13"/>
      <c r="F697" s="13" t="s">
        <v>269</v>
      </c>
      <c r="G697" s="251" t="str">
        <f>B660</f>
        <v>-</v>
      </c>
      <c r="H697" s="13"/>
      <c r="I697" s="13"/>
      <c r="J697" s="13"/>
      <c r="K697" s="13"/>
    </row>
    <row r="698" spans="1:11" ht="15.75" customHeight="1" x14ac:dyDescent="0.2">
      <c r="A698" s="263">
        <v>1</v>
      </c>
      <c r="B698" s="263" t="s">
        <v>598</v>
      </c>
      <c r="C698" s="13"/>
      <c r="D698" s="13"/>
      <c r="E698" s="13"/>
      <c r="F698" s="13" t="s">
        <v>270</v>
      </c>
      <c r="G698" s="251" t="str">
        <f>B685</f>
        <v>-</v>
      </c>
      <c r="H698" s="13"/>
      <c r="I698" s="13"/>
      <c r="J698" s="13"/>
      <c r="K698" s="13"/>
    </row>
    <row r="699" spans="1:11" ht="15.75" customHeight="1" x14ac:dyDescent="0.2">
      <c r="A699" s="13">
        <v>2</v>
      </c>
      <c r="B699" s="13" t="s">
        <v>599</v>
      </c>
      <c r="C699" s="13"/>
      <c r="D699" s="13"/>
      <c r="E699" s="13"/>
      <c r="F699" s="13" t="s">
        <v>271</v>
      </c>
      <c r="G699" s="251" t="str">
        <f>B710</f>
        <v>Alma diamantina</v>
      </c>
      <c r="H699" s="13"/>
      <c r="I699" s="13"/>
      <c r="J699" s="13"/>
      <c r="K699" s="13"/>
    </row>
    <row r="700" spans="1:11" ht="15.75" customHeight="1" x14ac:dyDescent="0.2">
      <c r="A700" s="263">
        <v>3</v>
      </c>
      <c r="B700" s="263" t="s">
        <v>600</v>
      </c>
      <c r="C700" s="13"/>
      <c r="D700" s="13"/>
      <c r="E700" s="13"/>
      <c r="F700" s="13" t="s">
        <v>272</v>
      </c>
      <c r="G700" s="251" t="str">
        <f>B735</f>
        <v>-</v>
      </c>
      <c r="H700" s="13"/>
      <c r="I700" s="13"/>
      <c r="J700" s="13"/>
      <c r="K700" s="13"/>
    </row>
    <row r="701" spans="1:11" ht="15.75" customHeight="1" x14ac:dyDescent="0.2">
      <c r="A701" s="13">
        <v>4</v>
      </c>
      <c r="B701" s="13" t="s">
        <v>601</v>
      </c>
      <c r="C701" s="13"/>
      <c r="D701" s="13"/>
      <c r="E701" s="13"/>
      <c r="F701" s="13" t="s">
        <v>3</v>
      </c>
      <c r="G701" s="251" t="str">
        <f>B760</f>
        <v>Aptitud especial, ataque furtivo +7d6</v>
      </c>
      <c r="H701" s="13"/>
      <c r="I701" s="13"/>
      <c r="J701" s="13"/>
      <c r="K701" s="13"/>
    </row>
    <row r="702" spans="1:11" ht="15.75" customHeight="1" x14ac:dyDescent="0.2">
      <c r="A702" s="263">
        <v>5</v>
      </c>
      <c r="B702" s="263" t="s">
        <v>602</v>
      </c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ht="15.75" customHeight="1" x14ac:dyDescent="0.2">
      <c r="A703" s="13">
        <v>6</v>
      </c>
      <c r="B703" s="13" t="s">
        <v>603</v>
      </c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ht="15.75" customHeight="1" x14ac:dyDescent="0.2">
      <c r="A704" s="263">
        <v>7</v>
      </c>
      <c r="B704" s="263" t="s">
        <v>604</v>
      </c>
      <c r="C704" s="13"/>
      <c r="D704" s="13"/>
      <c r="E704" s="13"/>
      <c r="F704" s="460" t="s">
        <v>605</v>
      </c>
      <c r="G704" s="307"/>
      <c r="H704" s="307"/>
      <c r="I704" s="13"/>
      <c r="J704" s="13"/>
      <c r="K704" s="13"/>
    </row>
    <row r="705" spans="1:11" ht="15.75" customHeight="1" x14ac:dyDescent="0.2">
      <c r="A705" s="13">
        <v>8</v>
      </c>
      <c r="B705" s="13" t="s">
        <v>606</v>
      </c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ht="15.75" customHeight="1" x14ac:dyDescent="0.2">
      <c r="A706" s="263">
        <v>9</v>
      </c>
      <c r="B706" s="263" t="s">
        <v>607</v>
      </c>
      <c r="C706" s="13"/>
      <c r="D706" s="13"/>
      <c r="E706" s="13"/>
      <c r="F706" s="13" t="s">
        <v>492</v>
      </c>
      <c r="G706" s="13" t="s">
        <v>608</v>
      </c>
      <c r="H706" s="13"/>
      <c r="I706" s="13"/>
      <c r="J706" s="13"/>
      <c r="K706" s="13"/>
    </row>
    <row r="707" spans="1:11" ht="15.75" customHeight="1" x14ac:dyDescent="0.2">
      <c r="A707" s="13">
        <v>10</v>
      </c>
      <c r="B707" s="13" t="s">
        <v>609</v>
      </c>
      <c r="C707" s="13"/>
      <c r="D707" s="13"/>
      <c r="E707" s="13"/>
      <c r="F707" s="13" t="s">
        <v>263</v>
      </c>
      <c r="G707" s="251" t="str">
        <f>B512</f>
        <v xml:space="preserve">Furia Indomable, Armas Brutales 3 incr.
</v>
      </c>
      <c r="H707" s="13"/>
      <c r="I707" s="13"/>
      <c r="J707" s="13"/>
      <c r="K707" s="13"/>
    </row>
    <row r="708" spans="1:11" ht="15.75" customHeight="1" x14ac:dyDescent="0.2">
      <c r="A708" s="263">
        <v>11</v>
      </c>
      <c r="B708" s="263" t="s">
        <v>610</v>
      </c>
      <c r="C708" s="13"/>
      <c r="D708" s="13"/>
      <c r="E708" s="13"/>
      <c r="F708" s="13" t="s">
        <v>264</v>
      </c>
      <c r="G708" s="251" t="str">
        <f>B537</f>
        <v>Infundir Valor +3</v>
      </c>
      <c r="H708" s="13"/>
      <c r="I708" s="13"/>
      <c r="J708" s="13"/>
      <c r="K708" s="13"/>
    </row>
    <row r="709" spans="1:11" ht="15.75" customHeight="1" x14ac:dyDescent="0.2">
      <c r="A709" s="13">
        <v>12</v>
      </c>
      <c r="B709" s="13" t="s">
        <v>611</v>
      </c>
      <c r="C709" s="13"/>
      <c r="D709" s="13"/>
      <c r="E709" s="13"/>
      <c r="F709" s="13" t="s">
        <v>265</v>
      </c>
      <c r="G709" s="251" t="str">
        <f>B562</f>
        <v>-</v>
      </c>
      <c r="H709" s="13"/>
      <c r="I709" s="13"/>
      <c r="J709" s="13"/>
      <c r="K709" s="13"/>
    </row>
    <row r="710" spans="1:11" ht="15.75" customHeight="1" x14ac:dyDescent="0.2">
      <c r="A710" s="263">
        <v>13</v>
      </c>
      <c r="B710" s="263" t="s">
        <v>612</v>
      </c>
      <c r="C710" s="13"/>
      <c r="D710" s="13"/>
      <c r="E710" s="13"/>
      <c r="F710" s="13" t="s">
        <v>266</v>
      </c>
      <c r="G710" s="251" t="str">
        <f>B587</f>
        <v>Forma salvaje 5/día</v>
      </c>
      <c r="H710" s="13"/>
      <c r="I710" s="13"/>
      <c r="J710" s="13"/>
      <c r="K710" s="13"/>
    </row>
    <row r="711" spans="1:11" ht="15.75" customHeight="1" x14ac:dyDescent="0.2">
      <c r="A711" s="13">
        <v>14</v>
      </c>
      <c r="B711" s="13" t="s">
        <v>613</v>
      </c>
      <c r="C711" s="13"/>
      <c r="D711" s="13"/>
      <c r="E711" s="13"/>
      <c r="F711" s="13" t="s">
        <v>267</v>
      </c>
      <c r="G711" s="251" t="str">
        <f>B612</f>
        <v>-</v>
      </c>
      <c r="H711" s="13"/>
      <c r="I711" s="13"/>
      <c r="J711" s="13"/>
      <c r="K711" s="13"/>
    </row>
    <row r="712" spans="1:11" ht="15.75" customHeight="1" x14ac:dyDescent="0.2">
      <c r="A712" s="263">
        <v>15</v>
      </c>
      <c r="B712" s="263" t="s">
        <v>614</v>
      </c>
      <c r="C712" s="13"/>
      <c r="D712" s="13"/>
      <c r="E712" s="13"/>
      <c r="F712" s="13" t="s">
        <v>268</v>
      </c>
      <c r="G712" s="251" t="str">
        <f>B636</f>
        <v>Dote adicional</v>
      </c>
      <c r="H712" s="13"/>
      <c r="I712" s="13"/>
      <c r="J712" s="13"/>
      <c r="K712" s="13"/>
    </row>
    <row r="713" spans="1:11" ht="15.75" customHeight="1" x14ac:dyDescent="0.2">
      <c r="A713" s="13">
        <v>16</v>
      </c>
      <c r="B713" s="13" t="s">
        <v>615</v>
      </c>
      <c r="C713" s="13"/>
      <c r="D713" s="13"/>
      <c r="E713" s="13"/>
      <c r="F713" s="13" t="s">
        <v>269</v>
      </c>
      <c r="G713" s="251" t="str">
        <f>B661</f>
        <v>-</v>
      </c>
      <c r="H713" s="13"/>
      <c r="I713" s="13"/>
      <c r="J713" s="13"/>
      <c r="K713" s="13"/>
    </row>
    <row r="714" spans="1:11" ht="15.75" customHeight="1" x14ac:dyDescent="0.2">
      <c r="A714" s="263">
        <v>17</v>
      </c>
      <c r="B714" s="263" t="s">
        <v>616</v>
      </c>
      <c r="C714" s="13"/>
      <c r="D714" s="13"/>
      <c r="E714" s="13"/>
      <c r="F714" s="13" t="s">
        <v>270</v>
      </c>
      <c r="G714" s="251" t="str">
        <f>B686</f>
        <v>-</v>
      </c>
      <c r="H714" s="13"/>
      <c r="I714" s="13"/>
      <c r="J714" s="13"/>
      <c r="K714" s="13"/>
    </row>
    <row r="715" spans="1:11" ht="15.75" customHeight="1" x14ac:dyDescent="0.2">
      <c r="A715" s="13">
        <v>18</v>
      </c>
      <c r="B715" s="13" t="s">
        <v>617</v>
      </c>
      <c r="C715" s="13"/>
      <c r="D715" s="13"/>
      <c r="E715" s="13"/>
      <c r="F715" s="13" t="s">
        <v>271</v>
      </c>
      <c r="G715" s="251" t="str">
        <f>B711</f>
        <v>Ralentizar caída 70'</v>
      </c>
      <c r="H715" s="13"/>
      <c r="I715" s="13"/>
      <c r="J715" s="13"/>
      <c r="K715" s="13"/>
    </row>
    <row r="716" spans="1:11" ht="15.75" customHeight="1" x14ac:dyDescent="0.2">
      <c r="A716" s="263">
        <v>19</v>
      </c>
      <c r="B716" s="263" t="s">
        <v>618</v>
      </c>
      <c r="C716" s="13"/>
      <c r="D716" s="13"/>
      <c r="E716" s="13"/>
      <c r="F716" s="13" t="s">
        <v>272</v>
      </c>
      <c r="G716" s="251" t="str">
        <f>B736</f>
        <v>-</v>
      </c>
      <c r="H716" s="13"/>
      <c r="I716" s="13"/>
      <c r="J716" s="13"/>
      <c r="K716" s="13"/>
    </row>
    <row r="717" spans="1:11" ht="15.75" customHeight="1" x14ac:dyDescent="0.2">
      <c r="A717" s="13">
        <v>20</v>
      </c>
      <c r="B717" s="13" t="s">
        <v>619</v>
      </c>
      <c r="C717" s="13"/>
      <c r="D717" s="13"/>
      <c r="E717" s="13"/>
      <c r="F717" s="13" t="s">
        <v>3</v>
      </c>
      <c r="G717" s="251" t="str">
        <f>B761</f>
        <v>-</v>
      </c>
      <c r="H717" s="13"/>
      <c r="I717" s="13"/>
      <c r="J717" s="13"/>
      <c r="K717" s="13"/>
    </row>
    <row r="718" spans="1:11" ht="12.75" customHeight="1" x14ac:dyDescent="0.2"/>
    <row r="719" spans="1:11" ht="12.75" customHeight="1" x14ac:dyDescent="0.2"/>
    <row r="720" spans="1:11" ht="15.75" customHeight="1" x14ac:dyDescent="0.2">
      <c r="A720" s="464" t="s">
        <v>620</v>
      </c>
      <c r="B720" s="307"/>
      <c r="C720" s="307"/>
      <c r="D720" s="259"/>
      <c r="E720" s="259"/>
      <c r="F720" s="460" t="s">
        <v>621</v>
      </c>
      <c r="G720" s="307"/>
      <c r="H720" s="307"/>
      <c r="I720" s="259"/>
      <c r="J720" s="259"/>
      <c r="K720" s="259"/>
    </row>
    <row r="721" spans="1:11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ht="15.75" customHeight="1" x14ac:dyDescent="0.2">
      <c r="A722" s="264" t="s">
        <v>490</v>
      </c>
      <c r="B722" s="264" t="s">
        <v>620</v>
      </c>
      <c r="C722" s="13"/>
      <c r="D722" s="13"/>
      <c r="E722" s="13"/>
      <c r="F722" s="13" t="s">
        <v>492</v>
      </c>
      <c r="G722" s="13" t="s">
        <v>622</v>
      </c>
      <c r="H722" s="13"/>
      <c r="I722" s="13"/>
      <c r="J722" s="13"/>
      <c r="K722" s="13"/>
    </row>
    <row r="723" spans="1:11" ht="15.75" customHeight="1" x14ac:dyDescent="0.2">
      <c r="A723" s="265">
        <v>1</v>
      </c>
      <c r="B723" s="265" t="s">
        <v>623</v>
      </c>
      <c r="C723" s="13"/>
      <c r="D723" s="13"/>
      <c r="E723" s="13"/>
      <c r="F723" s="13" t="s">
        <v>263</v>
      </c>
      <c r="G723" s="251" t="str">
        <f>B513</f>
        <v xml:space="preserve">Curación rápida 15
</v>
      </c>
      <c r="H723" s="13"/>
      <c r="I723" s="13"/>
      <c r="J723" s="13"/>
      <c r="K723" s="13"/>
    </row>
    <row r="724" spans="1:11" ht="15.75" customHeight="1" x14ac:dyDescent="0.2">
      <c r="A724" s="13">
        <v>2</v>
      </c>
      <c r="B724" s="13" t="s">
        <v>624</v>
      </c>
      <c r="C724" s="13"/>
      <c r="D724" s="13"/>
      <c r="E724" s="13"/>
      <c r="F724" s="13" t="s">
        <v>264</v>
      </c>
      <c r="G724" s="251" t="str">
        <f>B538</f>
        <v>Infundir Heroicidad</v>
      </c>
      <c r="H724" s="13"/>
      <c r="I724" s="13"/>
      <c r="J724" s="13"/>
      <c r="K724" s="13"/>
    </row>
    <row r="725" spans="1:11" ht="15.75" customHeight="1" x14ac:dyDescent="0.2">
      <c r="A725" s="265">
        <v>3</v>
      </c>
      <c r="B725" s="265" t="s">
        <v>625</v>
      </c>
      <c r="C725" s="13"/>
      <c r="D725" s="13"/>
      <c r="E725" s="13"/>
      <c r="F725" s="13" t="s">
        <v>265</v>
      </c>
      <c r="G725" s="251" t="str">
        <f>B563</f>
        <v>-</v>
      </c>
      <c r="H725" s="13"/>
      <c r="I725" s="13"/>
      <c r="J725" s="13"/>
      <c r="K725" s="13"/>
    </row>
    <row r="726" spans="1:11" ht="15.75" customHeight="1" x14ac:dyDescent="0.2">
      <c r="A726" s="13">
        <v>4</v>
      </c>
      <c r="B726" s="13" t="s">
        <v>626</v>
      </c>
      <c r="C726" s="13"/>
      <c r="D726" s="13"/>
      <c r="E726" s="13"/>
      <c r="F726" s="13" t="s">
        <v>266</v>
      </c>
      <c r="G726" s="251" t="str">
        <f>B588</f>
        <v>Cuerpo eterno, forma salvaje Enorme</v>
      </c>
      <c r="H726" s="13"/>
      <c r="I726" s="13"/>
      <c r="J726" s="13"/>
      <c r="K726" s="13"/>
    </row>
    <row r="727" spans="1:11" ht="15.75" customHeight="1" x14ac:dyDescent="0.2">
      <c r="A727" s="265">
        <v>5</v>
      </c>
      <c r="B727" s="265" t="s">
        <v>627</v>
      </c>
      <c r="C727" s="13"/>
      <c r="D727" s="13"/>
      <c r="E727" s="13"/>
      <c r="F727" s="13" t="s">
        <v>267</v>
      </c>
      <c r="G727" s="251" t="str">
        <f>B613</f>
        <v>4º Enemigo predilecto</v>
      </c>
      <c r="H727" s="13"/>
      <c r="I727" s="13"/>
      <c r="J727" s="13"/>
      <c r="K727" s="13"/>
    </row>
    <row r="728" spans="1:11" ht="15.75" customHeight="1" x14ac:dyDescent="0.2">
      <c r="A728" s="13">
        <v>6</v>
      </c>
      <c r="B728" s="255" t="s">
        <v>628</v>
      </c>
      <c r="C728" s="13"/>
      <c r="D728" s="13"/>
      <c r="E728" s="13"/>
      <c r="F728" s="13" t="s">
        <v>268</v>
      </c>
      <c r="G728" s="251" t="str">
        <f>B637</f>
        <v>-</v>
      </c>
      <c r="H728" s="13"/>
      <c r="I728" s="13"/>
      <c r="J728" s="13"/>
      <c r="K728" s="13"/>
    </row>
    <row r="729" spans="1:11" ht="15.75" customHeight="1" x14ac:dyDescent="0.2">
      <c r="A729" s="265">
        <v>7</v>
      </c>
      <c r="B729" s="265" t="s">
        <v>213</v>
      </c>
      <c r="C729" s="13"/>
      <c r="D729" s="13"/>
      <c r="E729" s="13"/>
      <c r="F729" s="13" t="s">
        <v>269</v>
      </c>
      <c r="G729" s="251" t="str">
        <f>B662</f>
        <v>-</v>
      </c>
      <c r="H729" s="13"/>
      <c r="I729" s="13"/>
      <c r="J729" s="13"/>
      <c r="K729" s="13"/>
    </row>
    <row r="730" spans="1:11" ht="15.75" customHeight="1" x14ac:dyDescent="0.2">
      <c r="A730" s="13">
        <v>8</v>
      </c>
      <c r="B730" s="13" t="s">
        <v>213</v>
      </c>
      <c r="C730" s="13"/>
      <c r="D730" s="13"/>
      <c r="E730" s="13"/>
      <c r="F730" s="13" t="s">
        <v>270</v>
      </c>
      <c r="G730" s="251" t="str">
        <f>B687</f>
        <v>Dote adicional</v>
      </c>
      <c r="H730" s="13"/>
      <c r="I730" s="13"/>
      <c r="J730" s="13"/>
      <c r="K730" s="13"/>
    </row>
    <row r="731" spans="1:11" ht="15.75" customHeight="1" x14ac:dyDescent="0.2">
      <c r="A731" s="265">
        <v>9</v>
      </c>
      <c r="B731" s="266" t="s">
        <v>629</v>
      </c>
      <c r="C731" s="13"/>
      <c r="D731" s="13"/>
      <c r="E731" s="13"/>
      <c r="F731" s="13" t="s">
        <v>271</v>
      </c>
      <c r="G731" s="251" t="str">
        <f>B712</f>
        <v>Palma temblorosa</v>
      </c>
      <c r="H731" s="13"/>
      <c r="I731" s="13"/>
      <c r="J731" s="13"/>
      <c r="K731" s="13"/>
    </row>
    <row r="732" spans="1:11" ht="15.75" customHeight="1" x14ac:dyDescent="0.2">
      <c r="A732" s="13">
        <v>10</v>
      </c>
      <c r="B732" s="13" t="s">
        <v>630</v>
      </c>
      <c r="C732" s="13"/>
      <c r="D732" s="13"/>
      <c r="E732" s="13"/>
      <c r="F732" s="13" t="s">
        <v>272</v>
      </c>
      <c r="G732" s="251" t="str">
        <f>B737</f>
        <v>Castigar al mal 4/día, quitar enfermedad 4/semana</v>
      </c>
      <c r="H732" s="13"/>
      <c r="I732" s="13"/>
      <c r="J732" s="13"/>
      <c r="K732" s="13"/>
    </row>
    <row r="733" spans="1:11" ht="15.75" customHeight="1" x14ac:dyDescent="0.2">
      <c r="A733" s="265">
        <v>11</v>
      </c>
      <c r="B733" s="266" t="s">
        <v>213</v>
      </c>
      <c r="C733" s="13"/>
      <c r="D733" s="13"/>
      <c r="E733" s="13"/>
      <c r="F733" s="13" t="s">
        <v>3</v>
      </c>
      <c r="G733" s="251" t="str">
        <f>B762</f>
        <v>Ataque furtivo +8d6, sentido de las trampas +5</v>
      </c>
      <c r="H733" s="13"/>
      <c r="I733" s="13"/>
      <c r="J733" s="13"/>
      <c r="K733" s="13"/>
    </row>
    <row r="734" spans="1:11" ht="15.75" customHeight="1" x14ac:dyDescent="0.2">
      <c r="A734" s="13">
        <v>12</v>
      </c>
      <c r="B734" s="255" t="s">
        <v>631</v>
      </c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ht="15.75" customHeight="1" x14ac:dyDescent="0.2">
      <c r="A735" s="265">
        <v>13</v>
      </c>
      <c r="B735" s="266" t="s">
        <v>213</v>
      </c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ht="15.75" customHeight="1" x14ac:dyDescent="0.2">
      <c r="A736" s="13">
        <v>14</v>
      </c>
      <c r="B736" s="13" t="s">
        <v>213</v>
      </c>
      <c r="C736" s="13"/>
      <c r="D736" s="13"/>
      <c r="E736" s="13"/>
      <c r="F736" s="460" t="s">
        <v>632</v>
      </c>
      <c r="G736" s="307"/>
      <c r="H736" s="307"/>
      <c r="I736" s="13"/>
      <c r="J736" s="13"/>
      <c r="K736" s="13"/>
    </row>
    <row r="737" spans="1:11" ht="15.75" customHeight="1" x14ac:dyDescent="0.2">
      <c r="A737" s="265">
        <v>15</v>
      </c>
      <c r="B737" s="265" t="s">
        <v>633</v>
      </c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ht="15.75" customHeight="1" x14ac:dyDescent="0.2">
      <c r="A738" s="13">
        <v>16</v>
      </c>
      <c r="B738" s="13" t="s">
        <v>213</v>
      </c>
      <c r="C738" s="13"/>
      <c r="D738" s="13"/>
      <c r="E738" s="13"/>
      <c r="F738" s="13" t="s">
        <v>492</v>
      </c>
      <c r="G738" s="13" t="s">
        <v>634</v>
      </c>
      <c r="H738" s="13"/>
      <c r="I738" s="13"/>
      <c r="J738" s="13"/>
      <c r="K738" s="13"/>
    </row>
    <row r="739" spans="1:11" ht="15.75" customHeight="1" x14ac:dyDescent="0.2">
      <c r="A739" s="265">
        <v>17</v>
      </c>
      <c r="B739" s="265" t="s">
        <v>213</v>
      </c>
      <c r="C739" s="13"/>
      <c r="D739" s="13"/>
      <c r="E739" s="13"/>
      <c r="F739" s="13" t="s">
        <v>263</v>
      </c>
      <c r="G739" s="251" t="str">
        <f>B514</f>
        <v xml:space="preserve">RD 4/-, Furia 5/día, Movimiento de combate +30'
</v>
      </c>
      <c r="H739" s="13"/>
      <c r="I739" s="13"/>
      <c r="J739" s="13"/>
      <c r="K739" s="13"/>
    </row>
    <row r="740" spans="1:11" ht="15.75" customHeight="1" x14ac:dyDescent="0.2">
      <c r="A740" s="13">
        <v>18</v>
      </c>
      <c r="B740" s="255" t="s">
        <v>635</v>
      </c>
      <c r="C740" s="13"/>
      <c r="D740" s="13"/>
      <c r="E740" s="13"/>
      <c r="F740" s="13" t="s">
        <v>264</v>
      </c>
      <c r="G740" s="251" t="str">
        <f>B539</f>
        <v>-</v>
      </c>
      <c r="H740" s="13"/>
      <c r="I740" s="13"/>
      <c r="J740" s="13"/>
      <c r="K740" s="13"/>
    </row>
    <row r="741" spans="1:11" ht="15.75" customHeight="1" x14ac:dyDescent="0.2">
      <c r="A741" s="265">
        <v>19</v>
      </c>
      <c r="B741" s="265" t="s">
        <v>213</v>
      </c>
      <c r="C741" s="13"/>
      <c r="D741" s="13"/>
      <c r="E741" s="13"/>
      <c r="F741" s="13" t="s">
        <v>265</v>
      </c>
      <c r="G741" s="251" t="str">
        <f>B564</f>
        <v>-</v>
      </c>
      <c r="H741" s="13"/>
      <c r="I741" s="13"/>
      <c r="J741" s="13"/>
      <c r="K741" s="13"/>
    </row>
    <row r="742" spans="1:11" ht="15.75" customHeight="1" x14ac:dyDescent="0.2">
      <c r="A742" s="13">
        <v>20</v>
      </c>
      <c r="B742" s="13" t="s">
        <v>636</v>
      </c>
      <c r="C742" s="13"/>
      <c r="D742" s="13"/>
      <c r="E742" s="13"/>
      <c r="F742" s="13" t="s">
        <v>266</v>
      </c>
      <c r="G742" s="251" t="str">
        <f>B589</f>
        <v>Forma salvaje Elemental 1/día</v>
      </c>
      <c r="H742" s="13"/>
      <c r="I742" s="13"/>
      <c r="J742" s="13"/>
      <c r="K742" s="13"/>
    </row>
    <row r="743" spans="1:11" ht="15.75" customHeight="1" x14ac:dyDescent="0.2">
      <c r="F743" s="13" t="s">
        <v>267</v>
      </c>
      <c r="G743" s="251" t="str">
        <f>B614</f>
        <v>-</v>
      </c>
      <c r="H743" s="13"/>
    </row>
    <row r="744" spans="1:11" ht="15.75" customHeight="1" x14ac:dyDescent="0.2">
      <c r="F744" s="13" t="s">
        <v>268</v>
      </c>
      <c r="G744" s="251" t="str">
        <f>B638</f>
        <v>Dote adicional</v>
      </c>
      <c r="H744" s="13"/>
    </row>
    <row r="745" spans="1:11" ht="15.75" customHeight="1" x14ac:dyDescent="0.2">
      <c r="A745" s="465" t="s">
        <v>637</v>
      </c>
      <c r="B745" s="307"/>
      <c r="C745" s="307"/>
      <c r="D745" s="259"/>
      <c r="E745" s="259"/>
      <c r="F745" s="13" t="s">
        <v>269</v>
      </c>
      <c r="G745" s="251" t="str">
        <f>B663</f>
        <v>-</v>
      </c>
      <c r="H745" s="13"/>
      <c r="I745" s="259"/>
      <c r="J745" s="259"/>
      <c r="K745" s="259"/>
    </row>
    <row r="746" spans="1:11" ht="15.75" customHeight="1" x14ac:dyDescent="0.2">
      <c r="A746" s="13"/>
      <c r="B746" s="13"/>
      <c r="C746" s="13"/>
      <c r="D746" s="13"/>
      <c r="E746" s="13"/>
      <c r="F746" s="13" t="s">
        <v>270</v>
      </c>
      <c r="G746" s="251" t="str">
        <f>B688</f>
        <v>-</v>
      </c>
      <c r="H746" s="13"/>
      <c r="I746" s="13"/>
      <c r="J746" s="13"/>
      <c r="K746" s="13"/>
    </row>
    <row r="747" spans="1:11" ht="15.75" customHeight="1" x14ac:dyDescent="0.2">
      <c r="A747" s="267" t="s">
        <v>490</v>
      </c>
      <c r="B747" s="267" t="s">
        <v>638</v>
      </c>
      <c r="C747" s="13"/>
      <c r="D747" s="13"/>
      <c r="E747" s="13"/>
      <c r="F747" s="13" t="s">
        <v>271</v>
      </c>
      <c r="G747" s="251" t="str">
        <f>B713</f>
        <v>Impacto ki (adamantino), ralentizar 80'</v>
      </c>
      <c r="H747" s="13"/>
      <c r="I747" s="13"/>
      <c r="J747" s="13"/>
      <c r="K747" s="13"/>
    </row>
    <row r="748" spans="1:11" ht="15.75" customHeight="1" x14ac:dyDescent="0.2">
      <c r="A748" s="257">
        <v>1</v>
      </c>
      <c r="B748" s="257" t="s">
        <v>639</v>
      </c>
      <c r="C748" s="13"/>
      <c r="D748" s="13"/>
      <c r="E748" s="13"/>
      <c r="F748" s="13" t="s">
        <v>272</v>
      </c>
      <c r="G748" s="251" t="str">
        <f>B738</f>
        <v>-</v>
      </c>
      <c r="H748" s="13"/>
      <c r="I748" s="13"/>
      <c r="J748" s="13"/>
      <c r="K748" s="13"/>
    </row>
    <row r="749" spans="1:11" ht="15.75" customHeight="1" x14ac:dyDescent="0.2">
      <c r="A749" s="13">
        <v>2</v>
      </c>
      <c r="B749" s="13" t="s">
        <v>571</v>
      </c>
      <c r="C749" s="13"/>
      <c r="D749" s="13"/>
      <c r="E749" s="13"/>
      <c r="F749" s="13" t="s">
        <v>3</v>
      </c>
      <c r="G749" s="251" t="str">
        <f>B763</f>
        <v>Aptitud especial</v>
      </c>
      <c r="H749" s="13"/>
      <c r="I749" s="13"/>
      <c r="J749" s="13"/>
      <c r="K749" s="13"/>
    </row>
    <row r="750" spans="1:11" ht="15.75" customHeight="1" x14ac:dyDescent="0.2">
      <c r="A750" s="257">
        <v>3</v>
      </c>
      <c r="B750" s="257" t="s">
        <v>640</v>
      </c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ht="15.75" customHeight="1" x14ac:dyDescent="0.2">
      <c r="A751" s="13">
        <v>4</v>
      </c>
      <c r="B751" s="13" t="s">
        <v>495</v>
      </c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ht="15.75" customHeight="1" x14ac:dyDescent="0.2">
      <c r="A752" s="257">
        <v>5</v>
      </c>
      <c r="B752" s="257" t="s">
        <v>641</v>
      </c>
      <c r="C752" s="13"/>
      <c r="D752" s="13"/>
      <c r="E752" s="13"/>
      <c r="F752" s="460" t="s">
        <v>642</v>
      </c>
      <c r="G752" s="307"/>
      <c r="H752" s="307"/>
      <c r="I752" s="13"/>
      <c r="J752" s="13"/>
      <c r="K752" s="13"/>
    </row>
    <row r="753" spans="1:11" ht="15.75" customHeight="1" x14ac:dyDescent="0.2">
      <c r="A753" s="13">
        <v>6</v>
      </c>
      <c r="B753" s="13" t="s">
        <v>643</v>
      </c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ht="15.75" customHeight="1" x14ac:dyDescent="0.2">
      <c r="A754" s="257">
        <v>7</v>
      </c>
      <c r="B754" s="257" t="s">
        <v>644</v>
      </c>
      <c r="C754" s="13"/>
      <c r="D754" s="13"/>
      <c r="E754" s="13"/>
      <c r="F754" s="13" t="s">
        <v>492</v>
      </c>
      <c r="G754" s="13" t="s">
        <v>645</v>
      </c>
      <c r="H754" s="13"/>
      <c r="I754" s="13"/>
      <c r="J754" s="13"/>
      <c r="K754" s="13"/>
    </row>
    <row r="755" spans="1:11" ht="15.75" customHeight="1" x14ac:dyDescent="0.2">
      <c r="A755" s="13">
        <v>8</v>
      </c>
      <c r="B755" s="13" t="s">
        <v>646</v>
      </c>
      <c r="C755" s="13"/>
      <c r="D755" s="13"/>
      <c r="E755" s="13"/>
      <c r="F755" s="13" t="s">
        <v>263</v>
      </c>
      <c r="G755" s="251" t="str">
        <f>B515</f>
        <v xml:space="preserve">Furia Incansable.
</v>
      </c>
      <c r="H755" s="13"/>
      <c r="I755" s="13"/>
      <c r="J755" s="13"/>
      <c r="K755" s="13"/>
    </row>
    <row r="756" spans="1:11" ht="15.75" customHeight="1" x14ac:dyDescent="0.2">
      <c r="A756" s="257">
        <v>9</v>
      </c>
      <c r="B756" s="257" t="s">
        <v>647</v>
      </c>
      <c r="C756" s="13"/>
      <c r="D756" s="13"/>
      <c r="E756" s="13"/>
      <c r="F756" s="13" t="s">
        <v>264</v>
      </c>
      <c r="G756" s="251" t="str">
        <f>B540</f>
        <v>-</v>
      </c>
      <c r="H756" s="13"/>
      <c r="I756" s="13"/>
      <c r="J756" s="13"/>
      <c r="K756" s="13"/>
    </row>
    <row r="757" spans="1:11" ht="15.75" customHeight="1" x14ac:dyDescent="0.2">
      <c r="A757" s="13">
        <v>10</v>
      </c>
      <c r="B757" s="13" t="s">
        <v>648</v>
      </c>
      <c r="C757" s="13"/>
      <c r="D757" s="13"/>
      <c r="E757" s="13"/>
      <c r="F757" s="13" t="s">
        <v>265</v>
      </c>
      <c r="G757" s="251" t="str">
        <f>B565</f>
        <v>-</v>
      </c>
      <c r="H757" s="13"/>
      <c r="I757" s="13"/>
      <c r="J757" s="13"/>
      <c r="K757" s="13"/>
    </row>
    <row r="758" spans="1:11" ht="15.75" customHeight="1" x14ac:dyDescent="0.2">
      <c r="A758" s="257">
        <v>11</v>
      </c>
      <c r="B758" s="268" t="s">
        <v>649</v>
      </c>
      <c r="C758" s="13"/>
      <c r="D758" s="13"/>
      <c r="E758" s="13"/>
      <c r="F758" s="13" t="s">
        <v>266</v>
      </c>
      <c r="G758" s="251" t="str">
        <f>B590</f>
        <v>-</v>
      </c>
      <c r="H758" s="13"/>
      <c r="I758" s="13"/>
      <c r="J758" s="13"/>
      <c r="K758" s="13"/>
    </row>
    <row r="759" spans="1:11" ht="15.75" customHeight="1" x14ac:dyDescent="0.2">
      <c r="A759" s="13">
        <v>12</v>
      </c>
      <c r="B759" s="13" t="s">
        <v>650</v>
      </c>
      <c r="C759" s="13"/>
      <c r="D759" s="13"/>
      <c r="E759" s="13"/>
      <c r="F759" s="13" t="s">
        <v>267</v>
      </c>
      <c r="G759" s="251" t="str">
        <f>B615</f>
        <v>Esconderse a plena vista</v>
      </c>
      <c r="H759" s="13"/>
      <c r="I759" s="13"/>
      <c r="J759" s="13"/>
      <c r="K759" s="13"/>
    </row>
    <row r="760" spans="1:11" ht="15.75" customHeight="1" x14ac:dyDescent="0.2">
      <c r="A760" s="257">
        <v>13</v>
      </c>
      <c r="B760" s="268" t="s">
        <v>651</v>
      </c>
      <c r="C760" s="13"/>
      <c r="D760" s="13"/>
      <c r="E760" s="13"/>
      <c r="F760" s="13" t="s">
        <v>268</v>
      </c>
      <c r="G760" s="251" t="str">
        <f>B639</f>
        <v>-</v>
      </c>
      <c r="H760" s="13"/>
      <c r="I760" s="13"/>
      <c r="J760" s="13"/>
      <c r="K760" s="13"/>
    </row>
    <row r="761" spans="1:11" ht="15.75" customHeight="1" x14ac:dyDescent="0.2">
      <c r="A761" s="13">
        <v>14</v>
      </c>
      <c r="B761" s="13" t="s">
        <v>213</v>
      </c>
      <c r="C761" s="13"/>
      <c r="D761" s="13"/>
      <c r="E761" s="13"/>
      <c r="F761" s="13" t="s">
        <v>269</v>
      </c>
      <c r="G761" s="251" t="str">
        <f>B664</f>
        <v>-</v>
      </c>
      <c r="H761" s="13"/>
      <c r="I761" s="13"/>
      <c r="J761" s="13"/>
      <c r="K761" s="13"/>
    </row>
    <row r="762" spans="1:11" ht="15.75" customHeight="1" x14ac:dyDescent="0.2">
      <c r="A762" s="257">
        <v>15</v>
      </c>
      <c r="B762" s="257" t="s">
        <v>652</v>
      </c>
      <c r="C762" s="13"/>
      <c r="D762" s="13"/>
      <c r="E762" s="13"/>
      <c r="F762" s="13" t="s">
        <v>270</v>
      </c>
      <c r="G762" s="251" t="str">
        <f>B689</f>
        <v>-</v>
      </c>
      <c r="H762" s="13"/>
      <c r="I762" s="13"/>
      <c r="J762" s="13"/>
      <c r="K762" s="13"/>
    </row>
    <row r="763" spans="1:11" ht="15.75" customHeight="1" x14ac:dyDescent="0.2">
      <c r="A763" s="13">
        <v>16</v>
      </c>
      <c r="B763" s="13" t="s">
        <v>648</v>
      </c>
      <c r="C763" s="13"/>
      <c r="D763" s="13"/>
      <c r="E763" s="13"/>
      <c r="F763" s="13" t="s">
        <v>271</v>
      </c>
      <c r="G763" s="251" t="str">
        <f>B714</f>
        <v>Cuerpo eterno, lengua del sol y la luna</v>
      </c>
      <c r="H763" s="13"/>
      <c r="I763" s="13"/>
      <c r="J763" s="13"/>
      <c r="K763" s="13"/>
    </row>
    <row r="764" spans="1:11" ht="15.75" customHeight="1" x14ac:dyDescent="0.2">
      <c r="A764" s="257">
        <v>17</v>
      </c>
      <c r="B764" s="257" t="s">
        <v>653</v>
      </c>
      <c r="C764" s="13"/>
      <c r="D764" s="13"/>
      <c r="E764" s="13"/>
      <c r="F764" s="13" t="s">
        <v>272</v>
      </c>
      <c r="G764" s="251" t="str">
        <f>B739</f>
        <v>-</v>
      </c>
      <c r="H764" s="13"/>
      <c r="I764" s="13"/>
      <c r="J764" s="13"/>
      <c r="K764" s="13"/>
    </row>
    <row r="765" spans="1:11" ht="15.75" customHeight="1" x14ac:dyDescent="0.2">
      <c r="A765" s="13">
        <v>18</v>
      </c>
      <c r="B765" s="13" t="s">
        <v>654</v>
      </c>
      <c r="C765" s="13"/>
      <c r="D765" s="13"/>
      <c r="E765" s="13"/>
      <c r="F765" s="13" t="s">
        <v>3</v>
      </c>
      <c r="G765" s="251" t="str">
        <f>B764</f>
        <v>Ataque furtivo +9d6</v>
      </c>
      <c r="H765" s="13"/>
      <c r="I765" s="13"/>
      <c r="J765" s="13"/>
      <c r="K765" s="13"/>
    </row>
    <row r="766" spans="1:11" ht="15.75" customHeight="1" x14ac:dyDescent="0.2">
      <c r="A766" s="257">
        <v>19</v>
      </c>
      <c r="B766" s="257" t="s">
        <v>655</v>
      </c>
      <c r="C766" s="13"/>
      <c r="D766" s="13"/>
      <c r="E766" s="13"/>
      <c r="F766" s="13"/>
      <c r="G766" s="13"/>
      <c r="H766" s="13"/>
      <c r="I766" s="13"/>
      <c r="J766" s="13"/>
      <c r="K766" s="13"/>
    </row>
    <row r="767" spans="1:11" ht="15.75" customHeight="1" x14ac:dyDescent="0.2">
      <c r="A767" s="13">
        <v>20</v>
      </c>
      <c r="B767" s="13" t="s">
        <v>213</v>
      </c>
      <c r="C767" s="13"/>
      <c r="D767" s="13"/>
      <c r="E767" s="13"/>
      <c r="F767" s="13"/>
      <c r="G767" s="13"/>
      <c r="H767" s="13"/>
      <c r="I767" s="13"/>
      <c r="J767" s="13"/>
      <c r="K767" s="13"/>
    </row>
    <row r="768" spans="1:11" ht="15.75" customHeight="1" x14ac:dyDescent="0.2">
      <c r="F768" s="460" t="s">
        <v>656</v>
      </c>
      <c r="G768" s="307"/>
      <c r="H768" s="307"/>
    </row>
    <row r="769" spans="6:8" ht="15.75" customHeight="1" x14ac:dyDescent="0.2">
      <c r="F769" s="13"/>
      <c r="G769" s="13"/>
      <c r="H769" s="13"/>
    </row>
    <row r="770" spans="6:8" ht="15.75" customHeight="1" x14ac:dyDescent="0.2">
      <c r="F770" s="13" t="s">
        <v>492</v>
      </c>
      <c r="G770" s="13" t="s">
        <v>657</v>
      </c>
      <c r="H770" s="13"/>
    </row>
    <row r="771" spans="6:8" ht="15.75" customHeight="1" x14ac:dyDescent="0.2">
      <c r="F771" s="13" t="s">
        <v>263</v>
      </c>
      <c r="G771" s="251" t="str">
        <f>B516</f>
        <v xml:space="preserve">Agarre Brutal Enorme.
</v>
      </c>
      <c r="H771" s="13"/>
    </row>
    <row r="772" spans="6:8" ht="15.75" customHeight="1" x14ac:dyDescent="0.2">
      <c r="F772" s="13" t="s">
        <v>264</v>
      </c>
      <c r="G772" s="251" t="str">
        <f>B541</f>
        <v>Sugestión en grupo</v>
      </c>
      <c r="H772" s="13"/>
    </row>
    <row r="773" spans="6:8" ht="15.75" customHeight="1" x14ac:dyDescent="0.2">
      <c r="F773" s="13" t="s">
        <v>265</v>
      </c>
      <c r="G773" s="251" t="str">
        <f>B566</f>
        <v>-</v>
      </c>
      <c r="H773" s="13"/>
    </row>
    <row r="774" spans="6:8" ht="15.75" customHeight="1" x14ac:dyDescent="0.2">
      <c r="F774" s="13" t="s">
        <v>266</v>
      </c>
      <c r="G774" s="251" t="str">
        <f>B591</f>
        <v>Forma salvaje 6/día, elemental 2/día</v>
      </c>
      <c r="H774" s="13"/>
    </row>
    <row r="775" spans="6:8" ht="15.75" customHeight="1" x14ac:dyDescent="0.2">
      <c r="F775" s="13" t="s">
        <v>267</v>
      </c>
      <c r="G775" s="251" t="str">
        <f>B616</f>
        <v>-</v>
      </c>
      <c r="H775" s="13"/>
    </row>
    <row r="776" spans="6:8" ht="15.75" customHeight="1" x14ac:dyDescent="0.2">
      <c r="F776" s="13" t="s">
        <v>268</v>
      </c>
      <c r="G776" s="251" t="str">
        <f>B640</f>
        <v>Dote adicional</v>
      </c>
      <c r="H776" s="13"/>
    </row>
    <row r="777" spans="6:8" ht="15.75" customHeight="1" x14ac:dyDescent="0.2">
      <c r="F777" s="13" t="s">
        <v>269</v>
      </c>
      <c r="G777" s="251" t="str">
        <f>B665</f>
        <v>-</v>
      </c>
      <c r="H777" s="13"/>
    </row>
    <row r="778" spans="6:8" ht="15.75" customHeight="1" x14ac:dyDescent="0.2">
      <c r="F778" s="13" t="s">
        <v>270</v>
      </c>
      <c r="G778" s="251" t="str">
        <f>B690</f>
        <v>-</v>
      </c>
      <c r="H778" s="13"/>
    </row>
    <row r="779" spans="6:8" ht="15.75" customHeight="1" x14ac:dyDescent="0.2">
      <c r="F779" s="13" t="s">
        <v>271</v>
      </c>
      <c r="G779" s="251" t="str">
        <f>B715</f>
        <v>Ralentizar caída 90'</v>
      </c>
      <c r="H779" s="13"/>
    </row>
    <row r="780" spans="6:8" ht="15.75" customHeight="1" x14ac:dyDescent="0.2">
      <c r="F780" s="13" t="s">
        <v>272</v>
      </c>
      <c r="G780" s="251" t="str">
        <f>B740</f>
        <v>Quitar enfermedad 5/semana</v>
      </c>
      <c r="H780" s="13"/>
    </row>
    <row r="781" spans="6:8" ht="15.75" customHeight="1" x14ac:dyDescent="0.2">
      <c r="F781" s="13" t="s">
        <v>3</v>
      </c>
      <c r="G781" s="251" t="str">
        <f>B765</f>
        <v>Sentido de las trampas +6</v>
      </c>
      <c r="H781" s="13"/>
    </row>
    <row r="782" spans="6:8" ht="12.75" customHeight="1" x14ac:dyDescent="0.2"/>
    <row r="783" spans="6:8" ht="12.75" customHeight="1" x14ac:dyDescent="0.2"/>
    <row r="784" spans="6:8" ht="15.75" customHeight="1" x14ac:dyDescent="0.2">
      <c r="F784" s="460" t="s">
        <v>658</v>
      </c>
      <c r="G784" s="307"/>
      <c r="H784" s="307"/>
    </row>
    <row r="785" spans="6:8" ht="15.75" customHeight="1" x14ac:dyDescent="0.2">
      <c r="F785" s="13"/>
      <c r="G785" s="13"/>
      <c r="H785" s="13"/>
    </row>
    <row r="786" spans="6:8" ht="15.75" customHeight="1" x14ac:dyDescent="0.2">
      <c r="F786" s="13" t="s">
        <v>492</v>
      </c>
      <c r="G786" s="13" t="s">
        <v>659</v>
      </c>
      <c r="H786" s="13"/>
    </row>
    <row r="787" spans="6:8" ht="15.75" customHeight="1" x14ac:dyDescent="0.2">
      <c r="F787" s="13" t="s">
        <v>263</v>
      </c>
      <c r="G787" s="251" t="str">
        <f>B517</f>
        <v xml:space="preserve">RD 5/-, Armas Brutales 4 incr., Movimiento de combate +35'
</v>
      </c>
      <c r="H787" s="13"/>
    </row>
    <row r="788" spans="6:8" ht="15.75" customHeight="1" x14ac:dyDescent="0.2">
      <c r="F788" s="13" t="s">
        <v>264</v>
      </c>
      <c r="G788" s="251" t="str">
        <f>B542</f>
        <v>-</v>
      </c>
      <c r="H788" s="13"/>
    </row>
    <row r="789" spans="6:8" ht="15.75" customHeight="1" x14ac:dyDescent="0.2">
      <c r="F789" s="13" t="s">
        <v>265</v>
      </c>
      <c r="G789" s="251" t="str">
        <f>B567</f>
        <v>-</v>
      </c>
      <c r="H789" s="13"/>
    </row>
    <row r="790" spans="6:8" ht="15.75" customHeight="1" x14ac:dyDescent="0.2">
      <c r="F790" s="13" t="s">
        <v>266</v>
      </c>
      <c r="G790" s="251" t="str">
        <f>B592</f>
        <v>-</v>
      </c>
      <c r="H790" s="13"/>
    </row>
    <row r="791" spans="6:8" ht="15.75" customHeight="1" x14ac:dyDescent="0.2">
      <c r="F791" s="13" t="s">
        <v>267</v>
      </c>
      <c r="G791" s="251" t="str">
        <f>B617</f>
        <v>-</v>
      </c>
      <c r="H791" s="13"/>
    </row>
    <row r="792" spans="6:8" ht="15.75" customHeight="1" x14ac:dyDescent="0.2">
      <c r="F792" s="13" t="s">
        <v>268</v>
      </c>
      <c r="G792" s="251" t="str">
        <f>B641</f>
        <v>-</v>
      </c>
      <c r="H792" s="13"/>
    </row>
    <row r="793" spans="6:8" ht="15.75" customHeight="1" x14ac:dyDescent="0.2">
      <c r="F793" s="13" t="s">
        <v>269</v>
      </c>
      <c r="G793" s="251" t="str">
        <f>B666</f>
        <v>-</v>
      </c>
      <c r="H793" s="13"/>
    </row>
    <row r="794" spans="6:8" ht="15.75" customHeight="1" x14ac:dyDescent="0.2">
      <c r="F794" s="13" t="s">
        <v>270</v>
      </c>
      <c r="G794" s="251" t="str">
        <f>B691</f>
        <v>-</v>
      </c>
      <c r="H794" s="13"/>
    </row>
    <row r="795" spans="6:8" ht="15.75" customHeight="1" x14ac:dyDescent="0.2">
      <c r="F795" s="13" t="s">
        <v>271</v>
      </c>
      <c r="G795" s="251" t="str">
        <f>B716</f>
        <v>Cuerpo vacío</v>
      </c>
      <c r="H795" s="13"/>
    </row>
    <row r="796" spans="6:8" ht="15.75" customHeight="1" x14ac:dyDescent="0.2">
      <c r="F796" s="13" t="s">
        <v>272</v>
      </c>
      <c r="G796" s="251" t="str">
        <f>B741</f>
        <v>-</v>
      </c>
      <c r="H796" s="13"/>
    </row>
    <row r="797" spans="6:8" ht="15.75" customHeight="1" x14ac:dyDescent="0.2">
      <c r="F797" s="13" t="s">
        <v>3</v>
      </c>
      <c r="G797" s="251" t="str">
        <f>B766</f>
        <v>Aptitud especial, Ataque furtivo +10d6</v>
      </c>
      <c r="H797" s="13"/>
    </row>
    <row r="798" spans="6:8" ht="12.75" customHeight="1" x14ac:dyDescent="0.2"/>
    <row r="799" spans="6:8" ht="12.75" customHeight="1" x14ac:dyDescent="0.2"/>
    <row r="800" spans="6:8" ht="15.75" customHeight="1" x14ac:dyDescent="0.2">
      <c r="F800" s="460" t="s">
        <v>660</v>
      </c>
      <c r="G800" s="307"/>
      <c r="H800" s="307"/>
    </row>
    <row r="801" spans="6:8" ht="15.75" customHeight="1" x14ac:dyDescent="0.2">
      <c r="F801" s="13"/>
      <c r="G801" s="13"/>
      <c r="H801" s="13"/>
    </row>
    <row r="802" spans="6:8" ht="15.75" customHeight="1" x14ac:dyDescent="0.2">
      <c r="F802" s="13" t="s">
        <v>492</v>
      </c>
      <c r="G802" s="13" t="s">
        <v>661</v>
      </c>
      <c r="H802" s="13"/>
    </row>
    <row r="803" spans="6:8" ht="15.75" customHeight="1" x14ac:dyDescent="0.2">
      <c r="F803" s="13" t="s">
        <v>263</v>
      </c>
      <c r="G803" s="251" t="str">
        <f>B518</f>
        <v xml:space="preserve">Furia 6/día, Furia Poderosa, Curación rápida 20
</v>
      </c>
      <c r="H803" s="13"/>
    </row>
    <row r="804" spans="6:8" ht="15.75" customHeight="1" x14ac:dyDescent="0.2">
      <c r="F804" s="13" t="s">
        <v>264</v>
      </c>
      <c r="G804" s="251" t="str">
        <f>B543</f>
        <v>Infundir Valor +4</v>
      </c>
      <c r="H804" s="13"/>
    </row>
    <row r="805" spans="6:8" ht="15.75" customHeight="1" x14ac:dyDescent="0.2">
      <c r="F805" s="13" t="s">
        <v>265</v>
      </c>
      <c r="G805" s="251" t="str">
        <f>B568</f>
        <v>-</v>
      </c>
      <c r="H805" s="13"/>
    </row>
    <row r="806" spans="6:8" ht="15.75" customHeight="1" x14ac:dyDescent="0.2">
      <c r="F806" s="13" t="s">
        <v>266</v>
      </c>
      <c r="G806" s="251" t="str">
        <f>B593</f>
        <v>Forma salvaje elemental 3/día, elemental Enorme</v>
      </c>
      <c r="H806" s="13"/>
    </row>
    <row r="807" spans="6:8" ht="15.75" customHeight="1" x14ac:dyDescent="0.2">
      <c r="F807" s="13" t="s">
        <v>267</v>
      </c>
      <c r="G807" s="251" t="str">
        <f>B618</f>
        <v>5º Enemigo predilecto</v>
      </c>
      <c r="H807" s="13"/>
    </row>
    <row r="808" spans="6:8" ht="15.75" customHeight="1" x14ac:dyDescent="0.2">
      <c r="F808" s="13" t="s">
        <v>268</v>
      </c>
      <c r="G808" s="251" t="str">
        <f>B642</f>
        <v>Dote adicional</v>
      </c>
      <c r="H808" s="13"/>
    </row>
    <row r="809" spans="6:8" ht="15.75" customHeight="1" x14ac:dyDescent="0.2">
      <c r="F809" s="13" t="s">
        <v>269</v>
      </c>
      <c r="G809" s="251" t="str">
        <f>B667</f>
        <v>-</v>
      </c>
      <c r="H809" s="13"/>
    </row>
    <row r="810" spans="6:8" ht="15.75" customHeight="1" x14ac:dyDescent="0.2">
      <c r="F810" s="13" t="s">
        <v>270</v>
      </c>
      <c r="G810" s="251" t="str">
        <f>B692</f>
        <v>Dote adicional</v>
      </c>
      <c r="H810" s="13"/>
    </row>
    <row r="811" spans="6:8" ht="15.75" customHeight="1" x14ac:dyDescent="0.2">
      <c r="F811" s="13" t="s">
        <v>271</v>
      </c>
      <c r="G811" s="251" t="str">
        <f>B717</f>
        <v>Ralentizar caída cualquier distancia, yo perfecto</v>
      </c>
      <c r="H811" s="13"/>
    </row>
    <row r="812" spans="6:8" ht="15.75" customHeight="1" x14ac:dyDescent="0.2">
      <c r="F812" s="13" t="s">
        <v>272</v>
      </c>
      <c r="G812" s="251" t="str">
        <f>B742</f>
        <v>Castigar al mal 5/día</v>
      </c>
      <c r="H812" s="13"/>
    </row>
    <row r="813" spans="6:8" ht="15.75" customHeight="1" x14ac:dyDescent="0.2">
      <c r="F813" s="13" t="s">
        <v>3</v>
      </c>
      <c r="G813" s="251" t="str">
        <f>B767</f>
        <v>-</v>
      </c>
      <c r="H813" s="13"/>
    </row>
  </sheetData>
  <mergeCells count="42">
    <mergeCell ref="F784:H784"/>
    <mergeCell ref="F800:H800"/>
    <mergeCell ref="F672:H672"/>
    <mergeCell ref="F688:H688"/>
    <mergeCell ref="F704:H704"/>
    <mergeCell ref="F720:H720"/>
    <mergeCell ref="F736:H736"/>
    <mergeCell ref="F752:H752"/>
    <mergeCell ref="F768:H768"/>
    <mergeCell ref="A745:C745"/>
    <mergeCell ref="F592:H592"/>
    <mergeCell ref="A596:C596"/>
    <mergeCell ref="F608:H608"/>
    <mergeCell ref="A620:C620"/>
    <mergeCell ref="F624:H624"/>
    <mergeCell ref="F640:H640"/>
    <mergeCell ref="F656:H656"/>
    <mergeCell ref="F576:H576"/>
    <mergeCell ref="A645:C645"/>
    <mergeCell ref="A670:C670"/>
    <mergeCell ref="A695:C695"/>
    <mergeCell ref="A720:C720"/>
    <mergeCell ref="F528:H528"/>
    <mergeCell ref="F544:H544"/>
    <mergeCell ref="A546:C546"/>
    <mergeCell ref="F560:H560"/>
    <mergeCell ref="A571:C571"/>
    <mergeCell ref="A494:K494"/>
    <mergeCell ref="A496:C496"/>
    <mergeCell ref="F496:H496"/>
    <mergeCell ref="A521:C521"/>
    <mergeCell ref="F512:H512"/>
    <mergeCell ref="A344:K344"/>
    <mergeCell ref="A367:K367"/>
    <mergeCell ref="A390:K390"/>
    <mergeCell ref="A413:K413"/>
    <mergeCell ref="A440:K440"/>
    <mergeCell ref="A199:B199"/>
    <mergeCell ref="A262:K262"/>
    <mergeCell ref="A291:K291"/>
    <mergeCell ref="A321:K321"/>
    <mergeCell ref="AE321:AO32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baseColWidth="10" defaultColWidth="12.5703125" defaultRowHeight="15" customHeight="1" x14ac:dyDescent="0.2"/>
  <cols>
    <col min="1" max="1" width="31" customWidth="1"/>
    <col min="2" max="2" width="10.7109375" customWidth="1"/>
    <col min="3" max="3" width="12.85546875" customWidth="1"/>
    <col min="4" max="4" width="10.7109375" customWidth="1"/>
    <col min="5" max="5" width="64.140625" customWidth="1"/>
    <col min="6" max="6" width="13.140625" customWidth="1"/>
    <col min="7" max="26" width="10.7109375" customWidth="1"/>
  </cols>
  <sheetData>
    <row r="1" spans="1:26" ht="21" customHeight="1" x14ac:dyDescent="0.3">
      <c r="A1" s="467" t="s">
        <v>662</v>
      </c>
      <c r="B1" s="307"/>
      <c r="C1" s="307"/>
      <c r="D1" s="307"/>
      <c r="E1" s="307"/>
      <c r="F1" s="307"/>
    </row>
    <row r="2" spans="1:26" ht="12.75" customHeight="1" x14ac:dyDescent="0.2"/>
    <row r="3" spans="1:26" ht="12.75" customHeight="1" x14ac:dyDescent="0.2">
      <c r="A3" s="13" t="s">
        <v>195</v>
      </c>
      <c r="B3" s="13" t="s">
        <v>179</v>
      </c>
      <c r="C3" s="13" t="s">
        <v>663</v>
      </c>
      <c r="D3" s="13" t="s">
        <v>664</v>
      </c>
      <c r="E3" s="13" t="s">
        <v>665</v>
      </c>
      <c r="F3" s="13" t="s">
        <v>666</v>
      </c>
    </row>
    <row r="4" spans="1:26" ht="12.75" customHeight="1" x14ac:dyDescent="0.2">
      <c r="A4" s="13" t="s">
        <v>667</v>
      </c>
      <c r="B4" s="269">
        <v>30</v>
      </c>
      <c r="C4" s="269">
        <v>120</v>
      </c>
      <c r="D4" s="10" t="s">
        <v>668</v>
      </c>
      <c r="E4" s="255"/>
      <c r="F4" s="255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2">
      <c r="A5" s="13" t="s">
        <v>669</v>
      </c>
      <c r="B5" s="269">
        <v>0.5</v>
      </c>
      <c r="C5" s="269">
        <v>6</v>
      </c>
      <c r="D5" s="10" t="s">
        <v>670</v>
      </c>
      <c r="E5" s="255"/>
      <c r="F5" s="25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13" t="s">
        <v>671</v>
      </c>
      <c r="B6" s="269">
        <v>25</v>
      </c>
      <c r="C6" s="269">
        <v>100</v>
      </c>
      <c r="D6" s="10" t="s">
        <v>668</v>
      </c>
      <c r="E6" s="255"/>
      <c r="F6" s="25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13" t="s">
        <v>672</v>
      </c>
      <c r="B7" s="269">
        <v>0</v>
      </c>
      <c r="C7" s="269">
        <v>0</v>
      </c>
      <c r="D7" s="10" t="s">
        <v>673</v>
      </c>
      <c r="E7" s="255"/>
      <c r="F7" s="25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13" t="s">
        <v>200</v>
      </c>
      <c r="B8" s="269">
        <v>2</v>
      </c>
      <c r="C8" s="269">
        <v>50</v>
      </c>
      <c r="D8" s="10" t="s">
        <v>668</v>
      </c>
      <c r="E8" s="13" t="s">
        <v>674</v>
      </c>
      <c r="F8" s="255"/>
    </row>
    <row r="9" spans="1:26" ht="12.75" customHeight="1" x14ac:dyDescent="0.2">
      <c r="A9" s="13" t="s">
        <v>675</v>
      </c>
      <c r="B9" s="269">
        <v>3</v>
      </c>
      <c r="C9" s="269">
        <v>75</v>
      </c>
      <c r="D9" s="10" t="s">
        <v>676</v>
      </c>
      <c r="E9" s="13" t="s">
        <v>677</v>
      </c>
      <c r="F9" s="255"/>
    </row>
    <row r="10" spans="1:26" ht="12.75" customHeight="1" x14ac:dyDescent="0.2">
      <c r="A10" s="13" t="s">
        <v>678</v>
      </c>
      <c r="B10" s="269">
        <v>4</v>
      </c>
      <c r="C10" s="269">
        <v>100</v>
      </c>
      <c r="D10" s="10" t="s">
        <v>679</v>
      </c>
      <c r="E10" s="13" t="s">
        <v>680</v>
      </c>
      <c r="F10" s="255"/>
    </row>
    <row r="11" spans="1:26" ht="12.75" customHeight="1" x14ac:dyDescent="0.2">
      <c r="A11" s="13" t="s">
        <v>681</v>
      </c>
      <c r="B11" s="269">
        <v>4</v>
      </c>
      <c r="C11" s="269">
        <v>8</v>
      </c>
      <c r="D11" s="10" t="s">
        <v>670</v>
      </c>
      <c r="E11" s="13"/>
      <c r="F11" s="13" t="s">
        <v>682</v>
      </c>
    </row>
    <row r="12" spans="1:26" ht="12.75" customHeight="1" x14ac:dyDescent="0.2">
      <c r="A12" s="13" t="s">
        <v>683</v>
      </c>
      <c r="B12" s="269">
        <v>0.5</v>
      </c>
      <c r="C12" s="269">
        <v>50</v>
      </c>
      <c r="D12" s="10" t="s">
        <v>684</v>
      </c>
      <c r="E12" s="13"/>
      <c r="F12" s="255"/>
    </row>
    <row r="13" spans="1:26" ht="12.75" customHeight="1" x14ac:dyDescent="0.2">
      <c r="A13" s="13" t="s">
        <v>685</v>
      </c>
      <c r="B13" s="269">
        <v>2</v>
      </c>
      <c r="C13" s="269">
        <v>12</v>
      </c>
      <c r="D13" s="10" t="s">
        <v>686</v>
      </c>
      <c r="E13" s="13"/>
      <c r="F13" s="255"/>
    </row>
    <row r="14" spans="1:26" ht="12.75" customHeight="1" x14ac:dyDescent="0.2">
      <c r="A14" s="255"/>
      <c r="B14" s="13"/>
      <c r="C14" s="13"/>
      <c r="D14" s="13"/>
      <c r="E14" s="13"/>
      <c r="F14" s="13"/>
    </row>
    <row r="15" spans="1:26" ht="12.75" customHeight="1" x14ac:dyDescent="0.2">
      <c r="A15" s="255"/>
      <c r="B15" s="13"/>
      <c r="C15" s="13"/>
      <c r="D15" s="13"/>
      <c r="E15" s="13"/>
      <c r="F15" s="13"/>
    </row>
    <row r="16" spans="1:26" ht="12.75" customHeight="1" x14ac:dyDescent="0.2">
      <c r="A16" s="255"/>
      <c r="B16" s="13"/>
      <c r="C16" s="13"/>
      <c r="D16" s="13"/>
      <c r="E16" s="13"/>
      <c r="F16" s="13"/>
    </row>
    <row r="17" spans="1:6" ht="12.75" customHeight="1" x14ac:dyDescent="0.2">
      <c r="A17" s="255"/>
      <c r="B17" s="13"/>
      <c r="C17" s="13"/>
      <c r="D17" s="13"/>
      <c r="E17" s="13"/>
      <c r="F17" s="13"/>
    </row>
    <row r="18" spans="1:6" ht="12.75" customHeight="1" x14ac:dyDescent="0.2">
      <c r="A18" s="255"/>
      <c r="B18" s="13"/>
      <c r="C18" s="13"/>
      <c r="D18" s="13"/>
      <c r="E18" s="13"/>
      <c r="F18" s="13"/>
    </row>
    <row r="19" spans="1:6" ht="12.75" customHeight="1" x14ac:dyDescent="0.2">
      <c r="A19" s="255"/>
      <c r="B19" s="13"/>
      <c r="C19" s="13"/>
      <c r="D19" s="13"/>
      <c r="E19" s="13"/>
      <c r="F19" s="13"/>
    </row>
    <row r="20" spans="1:6" ht="12.75" customHeight="1" x14ac:dyDescent="0.2">
      <c r="A20" s="255"/>
      <c r="B20" s="13"/>
      <c r="C20" s="13"/>
      <c r="D20" s="13"/>
      <c r="E20" s="13"/>
      <c r="F20" s="13"/>
    </row>
    <row r="21" spans="1:6" ht="12.75" customHeight="1" x14ac:dyDescent="0.2">
      <c r="A21" s="255"/>
      <c r="B21" s="13"/>
    </row>
    <row r="22" spans="1:6" ht="12.75" customHeight="1" x14ac:dyDescent="0.2">
      <c r="A22" s="255"/>
      <c r="B22" s="13"/>
    </row>
    <row r="23" spans="1:6" ht="12.75" customHeight="1" x14ac:dyDescent="0.2">
      <c r="A23" s="255"/>
      <c r="B23" s="13"/>
    </row>
    <row r="24" spans="1:6" ht="12.75" customHeight="1" x14ac:dyDescent="0.2">
      <c r="A24" s="255"/>
      <c r="B24" s="13"/>
    </row>
    <row r="25" spans="1:6" ht="12.75" customHeight="1" x14ac:dyDescent="0.2">
      <c r="A25" s="255"/>
      <c r="B25" s="13"/>
    </row>
    <row r="26" spans="1:6" ht="12.75" customHeight="1" x14ac:dyDescent="0.2">
      <c r="A26" s="255"/>
      <c r="B26" s="13"/>
    </row>
    <row r="27" spans="1:6" ht="12.75" customHeight="1" x14ac:dyDescent="0.2">
      <c r="A27" s="255"/>
      <c r="B27" s="13"/>
    </row>
    <row r="28" spans="1:6" ht="12.75" customHeight="1" x14ac:dyDescent="0.2">
      <c r="A28" s="255"/>
      <c r="B28" s="13"/>
    </row>
    <row r="29" spans="1:6" ht="12.75" customHeight="1" x14ac:dyDescent="0.2">
      <c r="A29" s="255"/>
      <c r="B29" s="13"/>
    </row>
    <row r="30" spans="1:6" ht="12.75" customHeight="1" x14ac:dyDescent="0.2">
      <c r="A30" s="255"/>
      <c r="B30" s="13"/>
    </row>
    <row r="31" spans="1:6" ht="12.75" customHeight="1" x14ac:dyDescent="0.2">
      <c r="A31" s="255"/>
      <c r="B31" s="13"/>
    </row>
    <row r="32" spans="1:6" ht="12.75" customHeight="1" x14ac:dyDescent="0.2">
      <c r="A32" s="255"/>
      <c r="B32" s="13"/>
    </row>
    <row r="33" spans="1:2" ht="12.75" customHeight="1" x14ac:dyDescent="0.2">
      <c r="A33" s="255"/>
      <c r="B33" s="13"/>
    </row>
    <row r="34" spans="1:2" ht="12.75" customHeight="1" x14ac:dyDescent="0.2">
      <c r="A34" s="255"/>
      <c r="B34" s="13"/>
    </row>
    <row r="35" spans="1:2" ht="12.75" customHeight="1" x14ac:dyDescent="0.2"/>
    <row r="36" spans="1:2" ht="12.75" customHeight="1" x14ac:dyDescent="0.2"/>
    <row r="37" spans="1:2" ht="12.75" customHeight="1" x14ac:dyDescent="0.2"/>
    <row r="38" spans="1:2" ht="12.75" customHeight="1" x14ac:dyDescent="0.2"/>
    <row r="39" spans="1:2" ht="12.75" customHeight="1" x14ac:dyDescent="0.2"/>
    <row r="40" spans="1:2" ht="12.75" customHeight="1" x14ac:dyDescent="0.2"/>
    <row r="41" spans="1:2" ht="12.75" customHeight="1" x14ac:dyDescent="0.2"/>
    <row r="42" spans="1:2" ht="12.75" customHeight="1" x14ac:dyDescent="0.2"/>
    <row r="43" spans="1:2" ht="12.75" customHeight="1" x14ac:dyDescent="0.2"/>
    <row r="44" spans="1:2" ht="12.75" customHeight="1" x14ac:dyDescent="0.2"/>
    <row r="45" spans="1:2" ht="12.75" customHeight="1" x14ac:dyDescent="0.2"/>
    <row r="46" spans="1:2" ht="12.75" customHeight="1" x14ac:dyDescent="0.2"/>
    <row r="47" spans="1:2" ht="12.75" customHeight="1" x14ac:dyDescent="0.2"/>
    <row r="48" spans="1:2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>
      <selection activeCell="B7" sqref="B7"/>
    </sheetView>
  </sheetViews>
  <sheetFormatPr baseColWidth="10" defaultColWidth="12.5703125" defaultRowHeight="15" customHeight="1" x14ac:dyDescent="0.2"/>
  <cols>
    <col min="1" max="6" width="11.5703125" customWidth="1"/>
    <col min="7" max="26" width="11.42578125" customWidth="1"/>
  </cols>
  <sheetData>
    <row r="1" spans="1:1" ht="12.75" customHeight="1" x14ac:dyDescent="0.2">
      <c r="A1" s="112" t="s">
        <v>687</v>
      </c>
    </row>
    <row r="2" spans="1:1" ht="12.75" customHeight="1" x14ac:dyDescent="0.2">
      <c r="A2" s="112"/>
    </row>
    <row r="3" spans="1:1" ht="12.75" customHeight="1" x14ac:dyDescent="0.2">
      <c r="A3" s="112"/>
    </row>
    <row r="4" spans="1:1" ht="12.75" customHeight="1" x14ac:dyDescent="0.2">
      <c r="A4" s="112"/>
    </row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26</vt:i4>
      </vt:variant>
    </vt:vector>
  </HeadingPairs>
  <TitlesOfParts>
    <vt:vector size="32" baseType="lpstr">
      <vt:lpstr>Características</vt:lpstr>
      <vt:lpstr>Equipamiento</vt:lpstr>
      <vt:lpstr>Conjuros</vt:lpstr>
      <vt:lpstr>Tablas</vt:lpstr>
      <vt:lpstr>Equipo mundano</vt:lpstr>
      <vt:lpstr>Notas</vt:lpstr>
      <vt:lpstr>BAB</vt:lpstr>
      <vt:lpstr>CHA_MOD</vt:lpstr>
      <vt:lpstr>Class</vt:lpstr>
      <vt:lpstr>Class1</vt:lpstr>
      <vt:lpstr>Class2</vt:lpstr>
      <vt:lpstr>Class3</vt:lpstr>
      <vt:lpstr>CON_MOD</vt:lpstr>
      <vt:lpstr>DES_MAX</vt:lpstr>
      <vt:lpstr>DES_MÁX.</vt:lpstr>
      <vt:lpstr>DEX_MOD</vt:lpstr>
      <vt:lpstr>HD</vt:lpstr>
      <vt:lpstr>HDLVL</vt:lpstr>
      <vt:lpstr>HDT</vt:lpstr>
      <vt:lpstr>INT_MOD</vt:lpstr>
      <vt:lpstr>LVL</vt:lpstr>
      <vt:lpstr>LVL_2</vt:lpstr>
      <vt:lpstr>LVL_3</vt:lpstr>
      <vt:lpstr>LVLADJ</vt:lpstr>
      <vt:lpstr>SIZE</vt:lpstr>
      <vt:lpstr>SIZE_MOD</vt:lpstr>
      <vt:lpstr>SPB</vt:lpstr>
      <vt:lpstr>SPBT</vt:lpstr>
      <vt:lpstr>SpellClass</vt:lpstr>
      <vt:lpstr>STR_MOD</vt:lpstr>
      <vt:lpstr>Type</vt:lpstr>
      <vt:lpstr>WIS_MOD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Xoán Clavería Paredes</dc:creator>
  <cp:lastModifiedBy>Jesus Cárdenas Conejo</cp:lastModifiedBy>
  <dcterms:created xsi:type="dcterms:W3CDTF">2018-03-18T22:13:30Z</dcterms:created>
  <dcterms:modified xsi:type="dcterms:W3CDTF">2025-04-02T11:48:41Z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